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heets/sheet1.xml" ContentType="application/vnd.openxmlformats-officedocument.spreadsheetml.chart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2.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drawings/drawing6.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2133D94C-ACC9-0847-9CA7-B7D82E75B677}" xr6:coauthVersionLast="47" xr6:coauthVersionMax="47" xr10:uidLastSave="{00000000-0000-0000-0000-000000000000}"/>
  <bookViews>
    <workbookView xWindow="-17120" yWindow="-24000" windowWidth="38400" windowHeight="24000" activeTab="3" xr2:uid="{5373AB19-D84C-490D-97DC-C516D358024A}"/>
  </bookViews>
  <sheets>
    <sheet name="ReadMe-Directions" sheetId="62" r:id="rId1"/>
    <sheet name="Versions" sheetId="31" r:id="rId2"/>
    <sheet name="Master" sheetId="47" r:id="rId3"/>
    <sheet name="DynamicStoragePlot" sheetId="67" r:id="rId4"/>
    <sheet name="DivideInflow" sheetId="61" r:id="rId5"/>
    <sheet name="TribalWater" sheetId="63" r:id="rId6"/>
    <sheet name="SplitInflowPlot" sheetId="59" r:id="rId7"/>
    <sheet name="SplitInflowForPlot" sheetId="60" r:id="rId8"/>
    <sheet name="MandatoryConservation" sheetId="41" r:id="rId9"/>
    <sheet name="PowellReleaseTemperature" sheetId="43" r:id="rId10"/>
    <sheet name="Mead-Elevation-Area" sheetId="10" r:id="rId11"/>
    <sheet name="CellType" sheetId="54" r:id="rId12"/>
    <sheet name="BasinConservationPrograms" sheetId="65" r:id="rId13"/>
    <sheet name="LakeMeadInflowScenarios" sheetId="64" r:id="rId14"/>
    <sheet name="DynamicPlotData" sheetId="68" r:id="rId15"/>
  </sheets>
  <definedNames>
    <definedName name="_xlchart.v1.0" hidden="1">DynamicPlotData!$B$2:$F$2</definedName>
    <definedName name="_xlchart.v1.1" hidden="1">Master!$C$142:$G$142</definedName>
    <definedName name="_xlchart.v1.10" hidden="1">Master!$C$143:$G$143</definedName>
    <definedName name="_xlchart.v1.11" hidden="1">Master!$C$144:$G$144</definedName>
    <definedName name="_xlchart.v1.12" hidden="1">Master!$C$145:$G$145</definedName>
    <definedName name="_xlchart.v1.13" hidden="1">Master!$C$146:$G$146</definedName>
    <definedName name="_xlchart.v1.14" hidden="1">Master!$C$147:$G$147</definedName>
    <definedName name="_xlchart.v1.15" hidden="1">Master!$C$27:$G$27</definedName>
    <definedName name="_xlchart.v1.16" hidden="1">DynamicPlotData!$B$2:$F$2</definedName>
    <definedName name="_xlchart.v1.17" hidden="1">Master!$C$142:$G$142</definedName>
    <definedName name="_xlchart.v1.18" hidden="1">Master!$C$143:$G$143</definedName>
    <definedName name="_xlchart.v1.19" hidden="1">Master!$C$144:$G$144</definedName>
    <definedName name="_xlchart.v1.2" hidden="1">Master!$C$143:$G$143</definedName>
    <definedName name="_xlchart.v1.20" hidden="1">Master!$C$145:$G$145</definedName>
    <definedName name="_xlchart.v1.21" hidden="1">Master!$C$146:$G$146</definedName>
    <definedName name="_xlchart.v1.22" hidden="1">Master!$C$147:$G$147</definedName>
    <definedName name="_xlchart.v1.23" hidden="1">Master!$C$27:$G$27</definedName>
    <definedName name="_xlchart.v1.24" hidden="1">DynamicPlotData!$B$2:$F$2</definedName>
    <definedName name="_xlchart.v1.25" hidden="1">Master!$C$142:$G$142</definedName>
    <definedName name="_xlchart.v1.26" hidden="1">Master!$C$143:$G$143</definedName>
    <definedName name="_xlchart.v1.27" hidden="1">Master!$C$144:$G$144</definedName>
    <definedName name="_xlchart.v1.28" hidden="1">Master!$C$145:$G$145</definedName>
    <definedName name="_xlchart.v1.29" hidden="1">Master!$C$146:$G$146</definedName>
    <definedName name="_xlchart.v1.3" hidden="1">Master!$C$144:$G$144</definedName>
    <definedName name="_xlchart.v1.30" hidden="1">Master!$C$147:$G$147</definedName>
    <definedName name="_xlchart.v1.31" hidden="1">Master!$C$27:$G$27</definedName>
    <definedName name="_xlchart.v1.32" hidden="1">DynamicPlotData!$B$2:$F$2</definedName>
    <definedName name="_xlchart.v1.33" hidden="1">Master!$C$142:$G$142</definedName>
    <definedName name="_xlchart.v1.34" hidden="1">Master!$C$143:$G$143</definedName>
    <definedName name="_xlchart.v1.35" hidden="1">Master!$C$144:$G$144</definedName>
    <definedName name="_xlchart.v1.36" hidden="1">Master!$C$145:$G$145</definedName>
    <definedName name="_xlchart.v1.37" hidden="1">Master!$C$146:$G$146</definedName>
    <definedName name="_xlchart.v1.38" hidden="1">Master!$C$147:$G$147</definedName>
    <definedName name="_xlchart.v1.39" hidden="1">Master!$C$27:$G$27</definedName>
    <definedName name="_xlchart.v1.4" hidden="1">Master!$C$145:$G$145</definedName>
    <definedName name="_xlchart.v1.40" hidden="1">DynamicPlotData!$B$2:$F$2</definedName>
    <definedName name="_xlchart.v1.41" hidden="1">Master!$C$142:$G$142</definedName>
    <definedName name="_xlchart.v1.42" hidden="1">Master!$C$143:$G$143</definedName>
    <definedName name="_xlchart.v1.43" hidden="1">Master!$C$144:$G$144</definedName>
    <definedName name="_xlchart.v1.44" hidden="1">Master!$C$145:$G$145</definedName>
    <definedName name="_xlchart.v1.45" hidden="1">Master!$C$146:$G$146</definedName>
    <definedName name="_xlchart.v1.46" hidden="1">Master!$C$147:$G$147</definedName>
    <definedName name="_xlchart.v1.47" hidden="1">Master!$C$27:$G$27</definedName>
    <definedName name="_xlchart.v1.48" hidden="1">DynamicPlotData!$B$2:$F$2</definedName>
    <definedName name="_xlchart.v1.49" hidden="1">Master!$C$142:$G$142</definedName>
    <definedName name="_xlchart.v1.5" hidden="1">Master!$C$146:$G$146</definedName>
    <definedName name="_xlchart.v1.50" hidden="1">Master!$C$143:$G$143</definedName>
    <definedName name="_xlchart.v1.51" hidden="1">Master!$C$144:$G$144</definedName>
    <definedName name="_xlchart.v1.52" hidden="1">Master!$C$145:$G$145</definedName>
    <definedName name="_xlchart.v1.53" hidden="1">Master!$C$146:$G$146</definedName>
    <definedName name="_xlchart.v1.54" hidden="1">Master!$C$147:$G$147</definedName>
    <definedName name="_xlchart.v1.55" hidden="1">Master!$C$27:$G$27</definedName>
    <definedName name="_xlchart.v1.56" hidden="1">DynamicPlotData!$B$2:$F$2</definedName>
    <definedName name="_xlchart.v1.57" hidden="1">Master!$C$142:$G$142</definedName>
    <definedName name="_xlchart.v1.58" hidden="1">Master!$C$143:$G$143</definedName>
    <definedName name="_xlchart.v1.59" hidden="1">Master!$C$144:$G$144</definedName>
    <definedName name="_xlchart.v1.6" hidden="1">Master!$C$147:$G$147</definedName>
    <definedName name="_xlchart.v1.60" hidden="1">Master!$C$145:$G$145</definedName>
    <definedName name="_xlchart.v1.61" hidden="1">Master!$C$146:$G$146</definedName>
    <definedName name="_xlchart.v1.62" hidden="1">Master!$C$147:$G$147</definedName>
    <definedName name="_xlchart.v1.63" hidden="1">Master!$C$27:$G$27</definedName>
    <definedName name="_xlchart.v1.64" hidden="1">DynamicPlotData!$B$2:$F$2</definedName>
    <definedName name="_xlchart.v1.65" hidden="1">Master!$C$142:$G$142</definedName>
    <definedName name="_xlchart.v1.66" hidden="1">Master!$C$143:$G$143</definedName>
    <definedName name="_xlchart.v1.67" hidden="1">Master!$C$144:$G$144</definedName>
    <definedName name="_xlchart.v1.68" hidden="1">Master!$C$145:$G$145</definedName>
    <definedName name="_xlchart.v1.69" hidden="1">Master!$C$146:$G$146</definedName>
    <definedName name="_xlchart.v1.7" hidden="1">Master!$C$27:$G$27</definedName>
    <definedName name="_xlchart.v1.70" hidden="1">Master!$C$147:$G$147</definedName>
    <definedName name="_xlchart.v1.71" hidden="1">Master!$C$27:$G$27</definedName>
    <definedName name="_xlchart.v1.8" hidden="1">DynamicPlotData!$B$2:$F$2</definedName>
    <definedName name="_xlchart.v1.9" hidden="1">Master!$C$142:$G$142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1" i="47" l="1"/>
  <c r="F71" i="47"/>
  <c r="C64" i="47"/>
  <c r="G64" i="47"/>
  <c r="F64" i="47"/>
  <c r="E64" i="47"/>
  <c r="D64" i="47"/>
  <c r="L116" i="47"/>
  <c r="A111" i="47"/>
  <c r="L65" i="47"/>
  <c r="L76" i="47"/>
  <c r="D79" i="47"/>
  <c r="E79" i="47"/>
  <c r="F79" i="47"/>
  <c r="G79" i="47"/>
  <c r="D89" i="47"/>
  <c r="E89" i="47"/>
  <c r="F89" i="47"/>
  <c r="G89" i="47"/>
  <c r="D99" i="47"/>
  <c r="E99" i="47"/>
  <c r="F99" i="47"/>
  <c r="G99" i="47"/>
  <c r="D109" i="47"/>
  <c r="E109" i="47"/>
  <c r="F109" i="47"/>
  <c r="G109" i="47"/>
  <c r="D119" i="47"/>
  <c r="E119" i="47"/>
  <c r="F119" i="47"/>
  <c r="G119" i="47"/>
  <c r="C119" i="47"/>
  <c r="C109" i="47"/>
  <c r="C99" i="47"/>
  <c r="C89" i="47"/>
  <c r="E68" i="47"/>
  <c r="F68" i="47"/>
  <c r="G68" i="47"/>
  <c r="J116" i="47" l="1"/>
  <c r="I116" i="47"/>
  <c r="K116" i="47"/>
  <c r="H116" i="47"/>
  <c r="J65" i="47"/>
  <c r="H65" i="47"/>
  <c r="K65" i="47"/>
  <c r="I65" i="47"/>
  <c r="J76" i="47"/>
  <c r="I76" i="47"/>
  <c r="K76" i="47"/>
  <c r="H76" i="47"/>
  <c r="D68" i="47"/>
  <c r="C79" i="47"/>
  <c r="M79" i="47" s="1"/>
  <c r="C68" i="47"/>
  <c r="M66" i="47"/>
  <c r="M117" i="47"/>
  <c r="M107" i="47"/>
  <c r="M97" i="47"/>
  <c r="M87"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A115" i="47"/>
  <c r="A105" i="47"/>
  <c r="A95" i="47"/>
  <c r="A85" i="47"/>
  <c r="A75"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B36" i="47" l="1"/>
  <c r="C2" i="68"/>
  <c r="D2" i="68"/>
  <c r="F2" i="68"/>
  <c r="B2" i="68"/>
  <c r="E2" i="68"/>
  <c r="M109" i="47"/>
  <c r="M119" i="47"/>
  <c r="M99" i="47"/>
  <c r="M89" i="47"/>
  <c r="M68"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8" i="47" l="1"/>
  <c r="K148" i="47"/>
  <c r="J148" i="47"/>
  <c r="I148" i="47"/>
  <c r="H148" i="47"/>
  <c r="A147" i="47"/>
  <c r="A146" i="47"/>
  <c r="A145" i="47"/>
  <c r="A144" i="47"/>
  <c r="A143" i="47"/>
  <c r="A142" i="47"/>
  <c r="A140" i="47"/>
  <c r="A139" i="47"/>
  <c r="A138" i="47"/>
  <c r="A137" i="47"/>
  <c r="A136" i="47"/>
  <c r="A135" i="47"/>
  <c r="L133" i="47"/>
  <c r="K133" i="47"/>
  <c r="J133" i="47"/>
  <c r="I133" i="47"/>
  <c r="H133" i="47"/>
  <c r="A132" i="47"/>
  <c r="A131" i="47"/>
  <c r="A130" i="47"/>
  <c r="A129" i="47"/>
  <c r="A128" i="47"/>
  <c r="A127" i="47"/>
  <c r="M77" i="47"/>
  <c r="A66"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31" i="47" l="1"/>
  <c r="C131" i="47"/>
  <c r="D131" i="47"/>
  <c r="E131" i="47"/>
  <c r="F131" i="47"/>
  <c r="F136" i="47"/>
  <c r="G136" i="47"/>
  <c r="C136" i="47"/>
  <c r="E136" i="47"/>
  <c r="D136" i="47"/>
  <c r="K145" i="47"/>
  <c r="F132" i="47"/>
  <c r="G132" i="47"/>
  <c r="C132" i="47"/>
  <c r="E132" i="47"/>
  <c r="D132" i="47"/>
  <c r="G137" i="47"/>
  <c r="C137" i="47"/>
  <c r="D137" i="47"/>
  <c r="E137" i="47"/>
  <c r="F137" i="47"/>
  <c r="K146" i="47"/>
  <c r="D139" i="47"/>
  <c r="E139" i="47"/>
  <c r="F139" i="47"/>
  <c r="C139" i="47"/>
  <c r="G139" i="47"/>
  <c r="F138" i="47"/>
  <c r="C138" i="47"/>
  <c r="E138" i="47"/>
  <c r="G138" i="47"/>
  <c r="D138" i="47"/>
  <c r="G127" i="47"/>
  <c r="C127" i="47"/>
  <c r="D127" i="47"/>
  <c r="E127" i="47"/>
  <c r="F127" i="47"/>
  <c r="F140" i="47"/>
  <c r="C140" i="47"/>
  <c r="G140" i="47"/>
  <c r="E140" i="47"/>
  <c r="D140" i="47"/>
  <c r="I142" i="47"/>
  <c r="D129" i="47"/>
  <c r="E129" i="47"/>
  <c r="G129" i="47"/>
  <c r="F129" i="47"/>
  <c r="C129" i="47"/>
  <c r="I143" i="47"/>
  <c r="J147" i="47"/>
  <c r="F128" i="47"/>
  <c r="C128" i="47"/>
  <c r="G128" i="47"/>
  <c r="E128" i="47"/>
  <c r="D128" i="47"/>
  <c r="F130" i="47"/>
  <c r="E130" i="47"/>
  <c r="G130" i="47"/>
  <c r="C130" i="47"/>
  <c r="D130" i="47"/>
  <c r="E135" i="47"/>
  <c r="F135" i="47"/>
  <c r="D135" i="47"/>
  <c r="C135" i="47"/>
  <c r="G135" i="47"/>
  <c r="K144" i="47"/>
  <c r="J132" i="47"/>
  <c r="J138" i="47"/>
  <c r="K127" i="47"/>
  <c r="I129" i="47"/>
  <c r="K137" i="47"/>
  <c r="J140" i="47"/>
  <c r="J130" i="47"/>
  <c r="K135" i="47"/>
  <c r="A87" i="47"/>
  <c r="A88" i="47" s="1"/>
  <c r="A97" i="47"/>
  <c r="A98" i="47" s="1"/>
  <c r="A67" i="47"/>
  <c r="A69" i="47" s="1"/>
  <c r="J46" i="47"/>
  <c r="K51" i="47"/>
  <c r="H38" i="47"/>
  <c r="I39" i="47"/>
  <c r="I47" i="47"/>
  <c r="K41" i="47"/>
  <c r="I48" i="47"/>
  <c r="J37" i="47"/>
  <c r="I54" i="47"/>
  <c r="H54" i="47"/>
  <c r="L54" i="47"/>
  <c r="J54" i="47"/>
  <c r="K54" i="47"/>
  <c r="K140" i="47"/>
  <c r="J56" i="47"/>
  <c r="H56" i="47"/>
  <c r="I56" i="47"/>
  <c r="K56" i="47"/>
  <c r="L56" i="47"/>
  <c r="H57" i="47"/>
  <c r="J57" i="47"/>
  <c r="K57" i="47"/>
  <c r="I57" i="47"/>
  <c r="L57" i="47"/>
  <c r="H59" i="47"/>
  <c r="J59" i="47"/>
  <c r="K59" i="47"/>
  <c r="L59" i="47"/>
  <c r="I59" i="47"/>
  <c r="K49" i="47"/>
  <c r="H131" i="47"/>
  <c r="I128" i="47"/>
  <c r="I146" i="47"/>
  <c r="L40" i="47"/>
  <c r="H139" i="47"/>
  <c r="L144" i="47"/>
  <c r="A77" i="47"/>
  <c r="A78" i="47" s="1"/>
  <c r="H140" i="47"/>
  <c r="H146" i="47"/>
  <c r="K39" i="47"/>
  <c r="L39" i="47"/>
  <c r="I145" i="47"/>
  <c r="L49" i="47"/>
  <c r="L140" i="47"/>
  <c r="L145" i="47"/>
  <c r="K147" i="47"/>
  <c r="H40" i="47"/>
  <c r="I40" i="47"/>
  <c r="I41" i="47"/>
  <c r="L50" i="47"/>
  <c r="H130" i="47"/>
  <c r="H41" i="47"/>
  <c r="K40" i="47"/>
  <c r="L41" i="47"/>
  <c r="H136" i="47"/>
  <c r="I138" i="47"/>
  <c r="I136" i="47"/>
  <c r="H137" i="47"/>
  <c r="K138" i="47"/>
  <c r="K136" i="47"/>
  <c r="I137" i="47"/>
  <c r="L135" i="47"/>
  <c r="L136" i="47"/>
  <c r="L137" i="47"/>
  <c r="H145" i="47"/>
  <c r="I50" i="47"/>
  <c r="I51" i="47"/>
  <c r="J39" i="47"/>
  <c r="K50" i="47"/>
  <c r="L51" i="47"/>
  <c r="I147" i="47"/>
  <c r="K37" i="47"/>
  <c r="K46" i="47"/>
  <c r="K130" i="47"/>
  <c r="L146" i="47"/>
  <c r="H46" i="47"/>
  <c r="L46" i="47"/>
  <c r="L130" i="47"/>
  <c r="I132" i="47"/>
  <c r="H50" i="47"/>
  <c r="H51" i="47"/>
  <c r="L127" i="47"/>
  <c r="K132" i="47"/>
  <c r="H36" i="47"/>
  <c r="L37" i="47"/>
  <c r="I38" i="47"/>
  <c r="J40" i="47"/>
  <c r="K47" i="47"/>
  <c r="H48" i="47"/>
  <c r="J50" i="47"/>
  <c r="H128" i="47"/>
  <c r="K129" i="47"/>
  <c r="I131" i="47"/>
  <c r="L132" i="47"/>
  <c r="J136" i="47"/>
  <c r="L138" i="47"/>
  <c r="I139" i="47"/>
  <c r="K142" i="47"/>
  <c r="H143" i="47"/>
  <c r="J145" i="47"/>
  <c r="L147" i="47"/>
  <c r="L129" i="47"/>
  <c r="J131" i="47"/>
  <c r="J139" i="47"/>
  <c r="L142" i="47"/>
  <c r="L47" i="47"/>
  <c r="J36" i="47"/>
  <c r="K38" i="47"/>
  <c r="J48" i="47"/>
  <c r="J128" i="47"/>
  <c r="K131" i="47"/>
  <c r="K139" i="47"/>
  <c r="J143" i="47"/>
  <c r="J142" i="47"/>
  <c r="J38" i="47"/>
  <c r="K36" i="47"/>
  <c r="L38" i="47"/>
  <c r="H39" i="47"/>
  <c r="J41" i="47"/>
  <c r="I46" i="47"/>
  <c r="K48" i="47"/>
  <c r="H49" i="47"/>
  <c r="J51" i="47"/>
  <c r="H127" i="47"/>
  <c r="K128" i="47"/>
  <c r="I130" i="47"/>
  <c r="L131" i="47"/>
  <c r="H135" i="47"/>
  <c r="J137" i="47"/>
  <c r="L139" i="47"/>
  <c r="I140" i="47"/>
  <c r="K143" i="47"/>
  <c r="H144" i="47"/>
  <c r="J146" i="47"/>
  <c r="J47" i="47"/>
  <c r="I36" i="47"/>
  <c r="L36" i="47"/>
  <c r="H37" i="47"/>
  <c r="L48" i="47"/>
  <c r="I49" i="47"/>
  <c r="I127" i="47"/>
  <c r="L128" i="47"/>
  <c r="H132" i="47"/>
  <c r="I135" i="47"/>
  <c r="H138" i="47"/>
  <c r="L143" i="47"/>
  <c r="I144" i="47"/>
  <c r="H147" i="47"/>
  <c r="J129" i="47"/>
  <c r="I37" i="47"/>
  <c r="H47" i="47"/>
  <c r="J49" i="47"/>
  <c r="J127" i="47"/>
  <c r="H129" i="47"/>
  <c r="J135" i="47"/>
  <c r="H142" i="47"/>
  <c r="J144" i="47"/>
  <c r="G133" i="47" l="1"/>
  <c r="F133" i="47"/>
  <c r="E133" i="47"/>
  <c r="D133" i="47"/>
  <c r="C133" i="47"/>
  <c r="E69" i="47"/>
  <c r="G69" i="47"/>
  <c r="F69" i="47"/>
  <c r="A110" i="47"/>
  <c r="A80" i="47"/>
  <c r="A120" i="47"/>
  <c r="A90" i="47"/>
  <c r="A101" i="47"/>
  <c r="A100" i="47"/>
  <c r="A81" i="47"/>
  <c r="A70" i="47"/>
  <c r="A91" i="47"/>
  <c r="A121"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20" i="47" l="1"/>
  <c r="G120" i="47"/>
  <c r="F120" i="47"/>
  <c r="E90" i="47"/>
  <c r="F90" i="47"/>
  <c r="G90" i="47"/>
  <c r="G80" i="47"/>
  <c r="F80" i="47"/>
  <c r="E80" i="47"/>
  <c r="G110" i="47"/>
  <c r="F110" i="47"/>
  <c r="E110" i="47"/>
  <c r="G100" i="47"/>
  <c r="E100" i="47"/>
  <c r="F100" i="47"/>
  <c r="A72" i="47"/>
  <c r="A102" i="47" s="1"/>
  <c r="K70" i="47"/>
  <c r="L70" i="47"/>
  <c r="H70" i="47"/>
  <c r="J70" i="47"/>
  <c r="I70" i="47"/>
  <c r="H121" i="47"/>
  <c r="J121" i="47"/>
  <c r="K121" i="47"/>
  <c r="L121" i="47"/>
  <c r="I121" i="47"/>
  <c r="L111" i="47"/>
  <c r="J111" i="47"/>
  <c r="K111" i="47"/>
  <c r="H111" i="47"/>
  <c r="I111" i="47"/>
  <c r="K101" i="47"/>
  <c r="H101" i="47"/>
  <c r="J101" i="47"/>
  <c r="L101" i="47"/>
  <c r="I101" i="47"/>
  <c r="H91" i="47"/>
  <c r="K91" i="47"/>
  <c r="L91" i="47"/>
  <c r="I91" i="47"/>
  <c r="J91" i="47"/>
  <c r="J81" i="47"/>
  <c r="L81" i="47"/>
  <c r="H81" i="47"/>
  <c r="K81" i="47"/>
  <c r="I81" i="47"/>
  <c r="H110" i="47"/>
  <c r="I110" i="47"/>
  <c r="M110" i="47"/>
  <c r="L110" i="47"/>
  <c r="K110" i="47"/>
  <c r="J110" i="47"/>
  <c r="L90" i="47"/>
  <c r="K90" i="47"/>
  <c r="M90" i="47"/>
  <c r="J90" i="47"/>
  <c r="I90" i="47"/>
  <c r="H90" i="47"/>
  <c r="H69" i="47"/>
  <c r="I69" i="47"/>
  <c r="M69" i="47"/>
  <c r="L69" i="47"/>
  <c r="K69" i="47"/>
  <c r="J69" i="47"/>
  <c r="J80" i="47"/>
  <c r="I80" i="47"/>
  <c r="K80" i="47"/>
  <c r="H80" i="47"/>
  <c r="M80" i="47"/>
  <c r="L80" i="47"/>
  <c r="J120" i="47"/>
  <c r="I120" i="47"/>
  <c r="H120" i="47"/>
  <c r="M120" i="47"/>
  <c r="L120" i="47"/>
  <c r="K120" i="47"/>
  <c r="M100" i="47"/>
  <c r="L100" i="47"/>
  <c r="K100" i="47"/>
  <c r="J100" i="47"/>
  <c r="I100" i="47"/>
  <c r="H100" i="47"/>
  <c r="A112" i="47" l="1"/>
  <c r="A113" i="47" s="1"/>
  <c r="A122" i="47"/>
  <c r="A123" i="47" s="1"/>
  <c r="A82" i="47"/>
  <c r="A83" i="47" s="1"/>
  <c r="A92" i="47"/>
  <c r="A93" i="47" s="1"/>
  <c r="A73" i="47"/>
  <c r="A103" i="47"/>
  <c r="L106" i="47" l="1"/>
  <c r="J106" i="47"/>
  <c r="H106" i="47"/>
  <c r="I106" i="47"/>
  <c r="K106" i="47"/>
  <c r="L96" i="47"/>
  <c r="I96" i="47"/>
  <c r="H96" i="47"/>
  <c r="J96" i="47"/>
  <c r="K96" i="47"/>
  <c r="L86" i="47"/>
  <c r="H86" i="47"/>
  <c r="J86" i="47"/>
  <c r="I86" i="47"/>
  <c r="K86" i="47"/>
  <c r="K103" i="47"/>
  <c r="L103" i="47"/>
  <c r="J103" i="47"/>
  <c r="I103" i="47"/>
  <c r="H103" i="47"/>
  <c r="I93" i="47"/>
  <c r="J93" i="47"/>
  <c r="H93" i="47"/>
  <c r="L93" i="47"/>
  <c r="K93" i="47"/>
  <c r="L83" i="47"/>
  <c r="H83" i="47"/>
  <c r="K83" i="47"/>
  <c r="J83" i="47"/>
  <c r="I83" i="47"/>
  <c r="L73" i="47"/>
  <c r="K73" i="47"/>
  <c r="J73" i="47"/>
  <c r="I73" i="47"/>
  <c r="H73" i="47"/>
  <c r="L113" i="47"/>
  <c r="K113" i="47"/>
  <c r="J113" i="47"/>
  <c r="I113" i="47"/>
  <c r="H113" i="47"/>
  <c r="L123" i="47"/>
  <c r="K123" i="47"/>
  <c r="J123" i="47"/>
  <c r="H123" i="47"/>
  <c r="I123"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9" i="47"/>
  <c r="M128" i="47"/>
  <c r="C45" i="47" l="1"/>
  <c r="C47" i="47" s="1"/>
  <c r="M39" i="60"/>
  <c r="M127" i="47"/>
  <c r="C50" i="47" l="1"/>
  <c r="C49" i="47"/>
  <c r="C46" i="47"/>
  <c r="C53" i="47" s="1"/>
  <c r="C65" i="47" s="1"/>
  <c r="C51" i="47"/>
  <c r="C48" i="47"/>
  <c r="C54" i="47" l="1"/>
  <c r="C70" i="47"/>
  <c r="C71" i="47" s="1"/>
  <c r="M40" i="60"/>
  <c r="C73" i="47" l="1"/>
  <c r="C142" i="47" s="1"/>
  <c r="D36" i="47" s="1"/>
  <c r="C57" i="47"/>
  <c r="C96" i="47" s="1"/>
  <c r="C59" i="47"/>
  <c r="C116" i="47" s="1"/>
  <c r="C55" i="47"/>
  <c r="C76" i="47" s="1"/>
  <c r="U8" i="61"/>
  <c r="Q8" i="61"/>
  <c r="S9" i="61"/>
  <c r="M55" i="47" l="1"/>
  <c r="M41" i="60"/>
  <c r="C81" i="47"/>
  <c r="C83" i="47" s="1"/>
  <c r="C143" i="47" s="1"/>
  <c r="D37" i="47" s="1"/>
  <c r="C121" i="47"/>
  <c r="C123" i="47" s="1"/>
  <c r="C147" i="47" s="1"/>
  <c r="M59" i="47"/>
  <c r="M45" i="60"/>
  <c r="C60" i="47"/>
  <c r="M57" i="47"/>
  <c r="C101" i="47"/>
  <c r="C103" i="47" s="1"/>
  <c r="C145" i="47" s="1"/>
  <c r="M43" i="60"/>
  <c r="M131" i="47"/>
  <c r="B58" i="47"/>
  <c r="C58" i="47" s="1"/>
  <c r="C106" i="47" s="1"/>
  <c r="W8" i="61"/>
  <c r="L9" i="61"/>
  <c r="M46" i="60" l="1"/>
  <c r="M58" i="47"/>
  <c r="M44" i="60"/>
  <c r="C111" i="47"/>
  <c r="R9" i="61"/>
  <c r="W9" i="61" s="1"/>
  <c r="L14" i="61"/>
  <c r="S14" i="61"/>
  <c r="S16" i="61"/>
  <c r="S15" i="61"/>
  <c r="L15" i="61"/>
  <c r="R15" i="61" s="1"/>
  <c r="S13" i="61"/>
  <c r="S10" i="61"/>
  <c r="L10" i="61"/>
  <c r="R10" i="61" s="1"/>
  <c r="L17" i="61"/>
  <c r="S17" i="61"/>
  <c r="L12" i="61"/>
  <c r="S12" i="61"/>
  <c r="S11" i="61"/>
  <c r="C113" i="47" l="1"/>
  <c r="C146" i="47" s="1"/>
  <c r="W15" i="61"/>
  <c r="W10" i="61"/>
  <c r="R12" i="61"/>
  <c r="R14" i="61"/>
  <c r="W14" i="61" s="1"/>
  <c r="L11" i="61"/>
  <c r="L13" i="61"/>
  <c r="R17" i="61"/>
  <c r="W17" i="61" s="1"/>
  <c r="L16" i="61"/>
  <c r="B56" i="47" l="1"/>
  <c r="C56" i="47" s="1"/>
  <c r="C8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91" i="47"/>
  <c r="M53" i="47"/>
  <c r="C93" i="47" l="1"/>
  <c r="C144" i="47" l="1"/>
  <c r="C149" i="47" s="1"/>
  <c r="D38" i="47" l="1"/>
  <c r="C100" i="47"/>
  <c r="C120" i="47"/>
  <c r="C90" i="47"/>
  <c r="C110" i="47"/>
  <c r="C80" i="47"/>
  <c r="C69" i="47"/>
  <c r="D40" i="47" l="1"/>
  <c r="D39" i="47"/>
  <c r="D41" i="47"/>
  <c r="C150" i="47" l="1"/>
  <c r="D34" i="47" s="1"/>
  <c r="D33" i="47"/>
  <c r="D45" i="47" l="1"/>
  <c r="D48" i="47" s="1"/>
  <c r="D49" i="47" l="1"/>
  <c r="D50" i="47"/>
  <c r="D47" i="47"/>
  <c r="D46" i="47"/>
  <c r="D53" i="47" s="1"/>
  <c r="D65" i="47" s="1"/>
  <c r="D51" i="47"/>
  <c r="D70" i="47" l="1"/>
  <c r="D54" i="47"/>
  <c r="D55" i="47" s="1"/>
  <c r="D73" i="47" l="1"/>
  <c r="D142" i="47" s="1"/>
  <c r="E36" i="47" s="1"/>
  <c r="D71" i="47"/>
  <c r="D57" i="47"/>
  <c r="D101" i="47" s="1"/>
  <c r="D103" i="47" s="1"/>
  <c r="D145" i="47" s="1"/>
  <c r="D81" i="47"/>
  <c r="D83" i="47" s="1"/>
  <c r="D143" i="47" s="1"/>
  <c r="D76" i="47"/>
  <c r="D58" i="47"/>
  <c r="D56" i="47"/>
  <c r="D59" i="47"/>
  <c r="D116" i="47" s="1"/>
  <c r="D96" i="47" l="1"/>
  <c r="D91" i="47"/>
  <c r="D93" i="47" s="1"/>
  <c r="D144" i="47" s="1"/>
  <c r="E38" i="47" s="1"/>
  <c r="D86" i="47"/>
  <c r="D111" i="47"/>
  <c r="D113" i="47" s="1"/>
  <c r="D146" i="47" s="1"/>
  <c r="E40" i="47" s="1"/>
  <c r="D106" i="47"/>
  <c r="D121" i="47"/>
  <c r="D123" i="47" s="1"/>
  <c r="D147" i="47" s="1"/>
  <c r="E41" i="47" s="1"/>
  <c r="D60" i="47"/>
  <c r="E37" i="47"/>
  <c r="D100" i="47" l="1"/>
  <c r="D110" i="47"/>
  <c r="D69" i="47"/>
  <c r="D90" i="47"/>
  <c r="D80" i="47"/>
  <c r="D120" i="47"/>
  <c r="E39" i="47" l="1"/>
  <c r="D149" i="47"/>
  <c r="D150" i="47" l="1"/>
  <c r="E34" i="47" s="1"/>
  <c r="E33" i="47"/>
  <c r="E45" i="47" l="1"/>
  <c r="E49" i="47" s="1"/>
  <c r="E46" i="47" l="1"/>
  <c r="E53" i="47" s="1"/>
  <c r="E65" i="47" s="1"/>
  <c r="E48" i="47"/>
  <c r="E47" i="47"/>
  <c r="E50" i="47"/>
  <c r="E51" i="47"/>
  <c r="E54" i="47" l="1"/>
  <c r="E56" i="47" s="1"/>
  <c r="E70" i="47"/>
  <c r="E59" i="47"/>
  <c r="E55" i="47"/>
  <c r="E57" i="47"/>
  <c r="E58" i="47" l="1"/>
  <c r="E106" i="47" s="1"/>
  <c r="E73" i="47"/>
  <c r="E142" i="47" s="1"/>
  <c r="F36" i="47" s="1"/>
  <c r="E71" i="47"/>
  <c r="E101" i="47"/>
  <c r="E103" i="47" s="1"/>
  <c r="E145" i="47" s="1"/>
  <c r="E96" i="47"/>
  <c r="E81" i="47"/>
  <c r="E83" i="47" s="1"/>
  <c r="E143" i="47" s="1"/>
  <c r="F37" i="47" s="1"/>
  <c r="E76" i="47"/>
  <c r="E121" i="47"/>
  <c r="E123" i="47" s="1"/>
  <c r="E147" i="47" s="1"/>
  <c r="F41" i="47" s="1"/>
  <c r="E116" i="47"/>
  <c r="E91" i="47"/>
  <c r="E93" i="47" s="1"/>
  <c r="E144" i="47" s="1"/>
  <c r="F38" i="47" s="1"/>
  <c r="E86" i="47"/>
  <c r="E111" i="47"/>
  <c r="E113" i="47" s="1"/>
  <c r="E146" i="47" s="1"/>
  <c r="E60" i="47"/>
  <c r="F40" i="47"/>
  <c r="E149" i="47" l="1"/>
  <c r="E150" i="47" s="1"/>
  <c r="F34" i="47" s="1"/>
  <c r="F33" i="47"/>
  <c r="F45" i="47" l="1"/>
  <c r="F50" i="47" s="1"/>
  <c r="F39" i="47"/>
  <c r="F46" i="47" l="1"/>
  <c r="F53" i="47" s="1"/>
  <c r="F65" i="47" s="1"/>
  <c r="F47" i="47"/>
  <c r="F51" i="47"/>
  <c r="F48" i="47"/>
  <c r="F49" i="47"/>
  <c r="F54" i="47" l="1"/>
  <c r="F58" i="47" s="1"/>
  <c r="F70" i="47"/>
  <c r="F73" i="47" s="1"/>
  <c r="F142" i="47" s="1"/>
  <c r="G36" i="47" s="1"/>
  <c r="F59" i="47"/>
  <c r="F55" i="47"/>
  <c r="F57" i="47" l="1"/>
  <c r="F56" i="47"/>
  <c r="F81" i="47"/>
  <c r="F83" i="47" s="1"/>
  <c r="F143" i="47" s="1"/>
  <c r="G37" i="47" s="1"/>
  <c r="F76" i="47"/>
  <c r="F91" i="47"/>
  <c r="F93" i="47" s="1"/>
  <c r="F144" i="47" s="1"/>
  <c r="G38" i="47" s="1"/>
  <c r="F86" i="47"/>
  <c r="F121" i="47"/>
  <c r="F123" i="47" s="1"/>
  <c r="F147" i="47" s="1"/>
  <c r="G41" i="47" s="1"/>
  <c r="F116" i="47"/>
  <c r="F101" i="47"/>
  <c r="F103" i="47" s="1"/>
  <c r="F145" i="47" s="1"/>
  <c r="G39" i="47" s="1"/>
  <c r="F96" i="47"/>
  <c r="F111" i="47"/>
  <c r="F113" i="47" s="1"/>
  <c r="F146" i="47" s="1"/>
  <c r="G40" i="47" s="1"/>
  <c r="F106" i="47"/>
  <c r="F60" i="47"/>
  <c r="F149" i="47" l="1"/>
  <c r="F150" i="47" s="1"/>
  <c r="G34" i="47" s="1"/>
  <c r="M60" i="47"/>
  <c r="G33" i="47" l="1"/>
  <c r="G45" i="47" s="1"/>
  <c r="G47" i="47" s="1"/>
  <c r="G50" i="47" l="1"/>
  <c r="G48" i="47"/>
  <c r="G46" i="47"/>
  <c r="G53" i="47" s="1"/>
  <c r="G65" i="47" s="1"/>
  <c r="G49" i="47"/>
  <c r="G51" i="47"/>
  <c r="M132" i="47"/>
  <c r="G54" i="47" l="1"/>
  <c r="G57" i="47" s="1"/>
  <c r="G70" i="47"/>
  <c r="G73" i="47" s="1"/>
  <c r="G142" i="47" s="1"/>
  <c r="G56" i="47"/>
  <c r="G58" i="47"/>
  <c r="M130" i="47"/>
  <c r="G59" i="47" l="1"/>
  <c r="G116" i="47" s="1"/>
  <c r="G55" i="47"/>
  <c r="G111" i="47"/>
  <c r="G113" i="47" s="1"/>
  <c r="G146" i="47" s="1"/>
  <c r="G106" i="47"/>
  <c r="G81" i="47"/>
  <c r="G83" i="47" s="1"/>
  <c r="G143" i="47" s="1"/>
  <c r="G76" i="47"/>
  <c r="G91" i="47"/>
  <c r="G93" i="47" s="1"/>
  <c r="G144" i="47" s="1"/>
  <c r="G86" i="47"/>
  <c r="G121" i="47"/>
  <c r="G123" i="47" s="1"/>
  <c r="G147" i="47" s="1"/>
  <c r="G101" i="47"/>
  <c r="G103" i="47" s="1"/>
  <c r="G145" i="47" s="1"/>
  <c r="G96" i="47"/>
  <c r="G60" i="47"/>
  <c r="G149" i="47" l="1"/>
  <c r="G150" i="47" s="1"/>
</calcChain>
</file>

<file path=xl/sharedStrings.xml><?xml version="1.0" encoding="utf-8"?>
<sst xmlns="http://schemas.openxmlformats.org/spreadsheetml/2006/main" count="698" uniqueCount="485">
  <si>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</si>
  <si>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</si>
  <si>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</si>
  <si>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</si>
  <si>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</si>
  <si>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</si>
  <si>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</si>
  <si>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</si>
  <si>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</si>
  <si>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</si>
  <si>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</si>
  <si>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</si>
  <si>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</si>
  <si>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</si>
  <si>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</si>
  <si>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</si>
  <si>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</si>
  <si>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</si>
  <si>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</si>
  <si>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</si>
  <si>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</si>
  <si>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</si>
  <si>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</si>
  <si>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</si>
  <si>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</si>
  <si>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</si>
  <si>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</si>
  <si>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</si>
  <si>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</si>
  <si>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</si>
  <si>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</si>
  <si>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</si>
  <si>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</si>
  <si>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</si>
  <si>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</si>
  <si>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</si>
  <si>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</si>
  <si>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</si>
  <si>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</si>
  <si>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</si>
  <si>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</si>
  <si>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</si>
  <si>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</si>
  <si>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</si>
  <si>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</si>
  <si>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</si>
  <si>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</si>
  <si>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</si>
  <si>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</si>
  <si>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</si>
  <si>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</si>
  <si>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</si>
  <si>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</si>
  <si>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</si>
  <si>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</si>
  <si>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</si>
  <si>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</si>
  <si>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</si>
  <si>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</si>
  <si>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</si>
  <si>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</si>
  <si>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</si>
  <si>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</si>
  <si>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</si>
  <si>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</si>
  <si>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</si>
  <si>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</si>
  <si>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</si>
  <si>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</si>
  <si>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</si>
  <si>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</si>
  <si>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</si>
  <si>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</si>
  <si>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</si>
  <si>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</si>
  <si>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</si>
  <si>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</si>
  <si>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</si>
  <si>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</si>
  <si>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</si>
  <si>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</si>
  <si>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</si>
  <si>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</si>
  <si>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</si>
  <si>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</si>
  <si>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</si>
  <si>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</si>
  <si>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</si>
  <si>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</si>
  <si>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</si>
  <si>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</si>
  <si>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</si>
  <si>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</si>
  <si>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</si>
  <si>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</si>
  <si>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</si>
  <si>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</si>
  <si>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</si>
  <si>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</si>
  <si>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</si>
  <si>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</si>
  <si>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</si>
  <si>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</si>
  <si>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</si>
  <si>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</si>
  <si>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</si>
  <si>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</si>
  <si>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</si>
  <si>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</si>
  <si>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</si>
  <si>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</si>
  <si>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</si>
  <si>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</si>
  <si>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</si>
  <si>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</si>
  <si>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</si>
  <si>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</si>
  <si>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</si>
  <si>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</si>
  <si>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</si>
  <si>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</si>
  <si>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</si>
  <si>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</si>
  <si>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</si>
  <si>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</si>
  <si>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</si>
  <si>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</si>
  <si>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</si>
  <si>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</si>
  <si>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</si>
  <si>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</si>
  <si>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</si>
  <si>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</si>
  <si>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</si>
  <si>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</si>
  <si>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</si>
  <si>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</si>
  <si>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</si>
  <si>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</si>
  <si>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</si>
  <si>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</si>
  <si>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</si>
  <si>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</si>
  <si>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</si>
  <si>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</si>
  <si>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</si>
  <si>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</si>
  <si>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</si>
  <si>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</si>
  <si>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</si>
  <si>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</si>
  <si>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</si>
  <si>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</si>
  <si>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</si>
  <si>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</si>
  <si>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</si>
  <si>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</si>
  <si>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</si>
  <si>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</si>
  <si>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</si>
  <si>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</si>
  <si>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</si>
  <si>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</si>
  <si>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</si>
  <si>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</si>
  <si>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</si>
  <si>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</si>
  <si>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</si>
  <si>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</si>
  <si>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</si>
  <si>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</si>
  <si>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</si>
  <si>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</si>
  <si>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</si>
  <si>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</si>
  <si>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</si>
  <si>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</si>
  <si>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</si>
  <si>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</si>
  <si>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</si>
  <si>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</si>
  <si>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</si>
  <si>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</si>
  <si>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</si>
  <si>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</si>
  <si>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</si>
  <si>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</si>
  <si>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</si>
  <si>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</si>
  <si>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</si>
  <si>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</si>
  <si>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</si>
  <si>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</si>
  <si>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</si>
  <si>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</si>
  <si>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</si>
  <si>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</si>
  <si>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</si>
  <si>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</si>
  <si>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</si>
  <si>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</si>
  <si>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</si>
  <si>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</si>
  <si>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</si>
  <si>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</si>
  <si>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</si>
  <si>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</si>
  <si>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</si>
  <si>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</si>
  <si>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</si>
  <si>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</si>
  <si>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</si>
  <si>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</si>
  <si>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</si>
  <si>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</si>
  <si>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</si>
  <si>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</si>
  <si>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</si>
  <si>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</si>
  <si>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</si>
  <si>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</si>
  <si>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</si>
  <si>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</si>
  <si>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</si>
  <si>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</si>
  <si>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</si>
  <si>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</si>
  <si>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</si>
  <si>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</si>
  <si>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</si>
  <si>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</si>
  <si>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</si>
  <si>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</si>
  <si>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</si>
  <si>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</si>
  <si>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</si>
  <si>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</si>
  <si>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</si>
  <si>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</si>
  <si>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</si>
  <si>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</si>
  <si>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</si>
  <si>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</si>
  <si>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</si>
  <si>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</si>
  <si>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</si>
  <si>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</si>
  <si>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</si>
  <si>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</si>
  <si>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</si>
  <si>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</si>
  <si>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</si>
  <si>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</si>
  <si>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</si>
  <si>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</si>
  <si>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</si>
  <si>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</si>
  <si>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</si>
  <si>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</si>
  <si>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</si>
  <si>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</si>
  <si>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</si>
  <si>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</si>
  <si>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</si>
  <si>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</si>
  <si>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</si>
  <si>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</si>
  <si>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</si>
  <si>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</si>
  <si>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</si>
  <si>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</si>
  <si>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</si>
  <si>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</si>
  <si>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</si>
  <si>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</si>
  <si>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</si>
  <si>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</si>
  <si>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</si>
  <si>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</si>
  <si>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</si>
  <si>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</si>
  <si>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</si>
  <si>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</si>
  <si>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</si>
  <si>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</si>
  <si>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</si>
  <si>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</si>
  <si>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</si>
  <si>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</si>
  <si>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</si>
  <si>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</si>
  <si>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</si>
  <si>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</si>
  <si>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</si>
  <si>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</si>
  <si>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</si>
  <si>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</si>
  <si>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</si>
  <si>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</si>
  <si>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</si>
  <si>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</si>
  <si>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</si>
  <si>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</si>
  <si>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</si>
  <si>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</si>
  <si>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</si>
  <si>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</si>
  <si>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</si>
  <si>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</si>
  <si>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</si>
  <si>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</si>
  <si>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</si>
  <si>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</si>
  <si>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</si>
  <si>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</si>
  <si>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</si>
  <si>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</si>
  <si>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</si>
  <si>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</si>
  <si>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</si>
  <si>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</si>
  <si>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</si>
  <si>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</si>
  <si>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</si>
  <si>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</si>
  <si>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</si>
  <si>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</si>
  <si>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</si>
  <si>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</si>
  <si>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</si>
  <si>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</si>
  <si>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</si>
  <si>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</si>
  <si>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</si>
  <si>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</si>
  <si>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</si>
  <si>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</si>
  <si>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</si>
  <si>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</si>
  <si>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</si>
  <si>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</si>
  <si>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</si>
  <si>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</si>
  <si>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</si>
  <si>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</si>
  <si>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</si>
  <si>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</si>
  <si>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</si>
  <si>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</si>
  <si>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</si>
  <si>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</si>
  <si>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</si>
  <si>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</si>
  <si>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</si>
  <si>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</si>
  <si>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</si>
  <si>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</si>
  <si>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</si>
  <si>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</si>
  <si>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</si>
  <si>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</si>
  <si>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</si>
  <si>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</si>
  <si>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</si>
  <si>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</si>
  <si>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</si>
  <si>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</si>
  <si>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</si>
  <si>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</si>
  <si>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</si>
  <si>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</si>
  <si>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</si>
  <si>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</si>
  <si>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</si>
  <si>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</si>
  <si>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</si>
  <si>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</si>
  <si>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</si>
  <si>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</si>
  <si>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</si>
  <si>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</si>
  <si>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</si>
  <si>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</si>
  <si>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</si>
  <si>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</si>
  <si>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</si>
  <si>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</si>
  <si>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</si>
  <si>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</si>
  <si>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</si>
  <si>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</si>
  <si>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</si>
  <si>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</si>
  <si>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</si>
  <si>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</si>
  <si>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</si>
  <si>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</si>
  <si>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</si>
  <si>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</si>
  <si>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</si>
  <si>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</si>
  <si>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</si>
  <si>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</si>
  <si>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</si>
  <si>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</si>
  <si>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</si>
  <si>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</si>
  <si>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</si>
  <si>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</si>
  <si>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</si>
  <si>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</si>
  <si>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</si>
  <si>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</si>
  <si>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</si>
  <si>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</si>
  <si>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</si>
  <si>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</si>
  <si>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</si>
  <si>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</si>
  <si>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</si>
  <si>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</si>
  <si>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</si>
  <si>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</si>
  <si>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</si>
  <si>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</si>
  <si>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</si>
  <si>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</si>
  <si>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</si>
  <si>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</si>
  <si>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</si>
  <si>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</si>
  <si>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</si>
  <si>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</si>
  <si>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</si>
  <si>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</si>
  <si>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</si>
  <si>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</si>
  <si>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</si>
  <si>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</si>
  <si>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</si>
  <si>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</si>
  <si>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</si>
  <si>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</si>
  <si>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</si>
  <si>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</si>
  <si>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</si>
  <si>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</si>
  <si>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</si>
  <si>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</si>
  <si>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</si>
  <si>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</si>
  <si>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</si>
  <si>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</si>
  <si>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</si>
  <si>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</si>
  <si>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</si>
  <si>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</si>
  <si>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</si>
  <si>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</si>
  <si>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</si>
  <si>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</si>
  <si>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</si>
  <si>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</si>
  <si>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</si>
  <si>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</si>
  <si>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</si>
  <si>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</si>
  <si>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</si>
  <si>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</si>
  <si>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</si>
  <si>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</si>
  <si>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</si>
  <si>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</si>
  <si>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</si>
  <si>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</si>
  <si>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</si>
  <si>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</si>
  <si>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</si>
  <si>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There is broad agreement in Reclamation's modeling methods that Colorado River flows will be more volative, declining, and have longer-lasting periods of flow.</t>
  </si>
  <si>
    <t>Starting Protection Elevation</t>
  </si>
  <si>
    <t>Protection Elevation [ft] without withdrawals</t>
  </si>
  <si>
    <t>Chosen Protection Elevation</t>
  </si>
  <si>
    <t>DCP Trigger</t>
  </si>
  <si>
    <t>Min Power Pool</t>
  </si>
  <si>
    <t>Final EIS Buffer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</si>
</sst>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7"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
      <sz val="11"/>
      <color theme="1"/>
      <name val="Calibri"/>
      <family val="2"/>
      <scheme val="minor"/>
    </font>
    <font>
      <b/>
      <sz val="11"/>
      <color rgb="FFFA7D00"/>
      <name val="Calibri"/>
      <family val="2"/>
    </font>
    <font>
      <b/>
      <u/>
      <sz val="11"/>
      <color theme="10"/>
      <name val="Calibri"/>
      <family val="2"/>
    </font>
    <font>
      <b/>
      <sz val="11"/>
      <color theme="1"/>
      <name val="Calibri"/>
      <family val="2"/>
    </font>
    <font>
      <u/>
      <sz val="11"/>
      <color theme="10"/>
      <name val="Calibri"/>
      <family val="2"/>
    </font>
  </fonts>
  <fills count="34">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
      <patternFill patternType="solid">
        <fgColor rgb="FFF2F2F2"/>
        <bgColor rgb="FFF2F2F2"/>
      </patternFill>
    </fill>
    <fill>
      <patternFill patternType="solid">
        <fgColor rgb="FFFFF2CB"/>
        <bgColor rgb="FFFFF2CB"/>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57">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5" xfId="0" applyFont="1" applyFill="1" applyBorder="1" applyAlignment="1">
      <alignment horizontal="left" vertical="top" wrapText="1"/>
    </xf>
    <xf numFmtId="0" fontId="32" fillId="0" borderId="0" xfId="0" applyFont="1"/>
    <xf numFmtId="164" fontId="33" fillId="32" borderId="1" xfId="0" applyNumberFormat="1" applyFont="1" applyFill="1" applyBorder="1" applyAlignment="1">
      <alignment horizontal="center"/>
    </xf>
    <xf numFmtId="0" fontId="34" fillId="33" borderId="0" xfId="0" applyFont="1" applyFill="1" applyAlignment="1">
      <alignment horizontal="center" vertical="top"/>
    </xf>
    <xf numFmtId="0" fontId="35" fillId="0" borderId="0" xfId="0" applyFont="1"/>
    <xf numFmtId="0" fontId="36" fillId="33" borderId="0" xfId="0" applyFont="1" applyFill="1" applyAlignment="1">
      <alignment horizontal="center" vertical="top"/>
    </xf>
    <xf numFmtId="164" fontId="3" fillId="0" borderId="0" xfId="2" applyNumberFormat="1" applyFill="1" applyBorder="1" applyAlignment="1">
      <alignment horizontal="center"/>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wrapText="1"/>
    </xf>
    <xf numFmtId="0" fontId="1" fillId="21" borderId="6" xfId="0" applyFont="1" applyFill="1" applyBorder="1" applyAlignment="1">
      <alignment horizontal="left"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529BE7"/>
      <color rgb="FF3C82C0"/>
      <color rgb="FF528CBF"/>
      <color rgb="FF7AB5F2"/>
      <color rgb="FF5CA7F1"/>
      <color rgb="FF007DEF"/>
      <color rgb="FF0077DB"/>
      <color rgb="FF0086EC"/>
      <color rgb="FF007AD6"/>
      <color rgb="FF528ED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chartsheet" Target="chartsheets/sheet2.xml"/><Relationship Id="rId12" Type="http://schemas.openxmlformats.org/officeDocument/2006/relationships/worksheet" Target="worksheets/sheet10.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worksheet" Target="worksheets/sheet9.xml"/><Relationship Id="rId5" Type="http://schemas.openxmlformats.org/officeDocument/2006/relationships/worksheet" Target="worksheets/sheet4.xml"/><Relationship Id="rId15" Type="http://schemas.openxmlformats.org/officeDocument/2006/relationships/worksheet" Target="worksheets/sheet13.xml"/><Relationship Id="rId10" Type="http://schemas.openxmlformats.org/officeDocument/2006/relationships/worksheet" Target="worksheets/sheet8.xml"/><Relationship Id="rId19" Type="http://schemas.openxmlformats.org/officeDocument/2006/relationships/calcChain" Target="calcChain.xml"/><Relationship Id="rId4" Type="http://schemas.openxmlformats.org/officeDocument/2006/relationships/chartsheet" Target="chartsheets/sheet1.xml"/><Relationship Id="rId9" Type="http://schemas.openxmlformats.org/officeDocument/2006/relationships/worksheet" Target="worksheets/sheet7.xml"/><Relationship Id="rId14" Type="http://schemas.openxmlformats.org/officeDocument/2006/relationships/worksheet" Target="worksheets/sheet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0901785917221303E-2"/>
          <c:y val="3.4536042119895576E-2"/>
          <c:w val="0.91173420288821727"/>
          <c:h val="0.90589663262331543"/>
        </c:manualLayout>
      </c:layout>
      <c:barChart>
        <c:barDir val="col"/>
        <c:grouping val="stacked"/>
        <c:varyColors val="0"/>
        <c:ser>
          <c:idx val="0"/>
          <c:order val="0"/>
          <c:tx>
            <c:v>Reclamation Protect Zone</c:v>
          </c:tx>
          <c:spPr>
            <a:solidFill>
              <a:schemeClr val="accent2"/>
            </a:solidFill>
            <a:ln w="12700">
              <a:solidFill>
                <a:srgbClr val="00206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0"/>
              </c:ext>
            </c:extLst>
          </c:dLbls>
          <c:cat>
            <c:strRef>
              <c:f>Master!$C$27:$G$27</c:f>
              <c:strCache>
                <c:ptCount val="5"/>
                <c:pt idx="0">
                  <c:v>Year 1</c:v>
                </c:pt>
                <c:pt idx="1">
                  <c:v>Year 2</c:v>
                </c:pt>
                <c:pt idx="2">
                  <c:v>Year 3</c:v>
                </c:pt>
                <c:pt idx="3">
                  <c:v>Year 4</c:v>
                </c:pt>
                <c:pt idx="4">
                  <c:v>Year 5</c:v>
                </c:pt>
              </c:strCache>
            </c:strRef>
          </c:cat>
          <c:val>
            <c:numRef>
              <c:f>Master!$C$142:$G$142</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0-C502-0346-B214-A35A0297EDD2}"/>
            </c:ext>
          </c:extLst>
        </c:ser>
        <c:ser>
          <c:idx val="5"/>
          <c:order val="1"/>
          <c:tx>
            <c:v>Tribal Nations</c:v>
          </c:tx>
          <c:spPr>
            <a:solidFill>
              <a:srgbClr val="0070C0"/>
            </a:solidFill>
            <a:ln w="12700">
              <a:solidFill>
                <a:srgbClr val="00206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0"/>
              </c:ext>
            </c:extLst>
          </c:dLbls>
          <c:val>
            <c:numRef>
              <c:f>Master!$C$147:$G$147</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5-C502-0346-B214-A35A0297EDD2}"/>
            </c:ext>
          </c:extLst>
        </c:ser>
        <c:ser>
          <c:idx val="4"/>
          <c:order val="2"/>
          <c:tx>
            <c:v>Mexico</c:v>
          </c:tx>
          <c:spPr>
            <a:solidFill>
              <a:srgbClr val="3C82C0"/>
            </a:solidFill>
            <a:ln w="12700">
              <a:solidFill>
                <a:srgbClr val="00206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0"/>
              </c:ext>
            </c:extLst>
          </c:dLbls>
          <c:val>
            <c:numRef>
              <c:f>Master!$C$146:$G$146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4-C502-0346-B214-A35A0297EDD2}"/>
            </c:ext>
          </c:extLst>
        </c:ser>
        <c:ser>
          <c:idx val="3"/>
          <c:order val="3"/>
          <c:tx>
            <c:v>Nevada</c:v>
          </c:tx>
          <c:spPr>
            <a:solidFill>
              <a:srgbClr val="529BE7"/>
            </a:solidFill>
            <a:ln w="12700">
              <a:solidFill>
                <a:srgbClr val="00206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Master!$C$27:$G$27</c:f>
              <c:strCache>
                <c:ptCount val="5"/>
                <c:pt idx="0">
                  <c:v>Year 1</c:v>
                </c:pt>
                <c:pt idx="1">
                  <c:v>Year 2</c:v>
                </c:pt>
                <c:pt idx="2">
                  <c:v>Year 3</c:v>
                </c:pt>
                <c:pt idx="3">
                  <c:v>Year 4</c:v>
                </c:pt>
                <c:pt idx="4">
                  <c:v>Year 5</c:v>
                </c:pt>
              </c:strCache>
            </c:strRef>
          </c:cat>
          <c:val>
            <c:numRef>
              <c:f>Master!$C$145:$G$145</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3-C502-0346-B214-A35A0297EDD2}"/>
            </c:ext>
          </c:extLst>
        </c:ser>
        <c:ser>
          <c:idx val="2"/>
          <c:order val="4"/>
          <c:tx>
            <c:v>Arizona</c:v>
          </c:tx>
          <c:spPr>
            <a:solidFill>
              <a:srgbClr val="7AB5F2"/>
            </a:solidFill>
            <a:ln w="12700">
              <a:solidFill>
                <a:srgbClr val="00206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0"/>
              </c:ext>
            </c:extLst>
          </c:dLbls>
          <c:cat>
            <c:strRef>
              <c:f>Master!$C$27:$G$27</c:f>
              <c:strCache>
                <c:ptCount val="5"/>
                <c:pt idx="0">
                  <c:v>Year 1</c:v>
                </c:pt>
                <c:pt idx="1">
                  <c:v>Year 2</c:v>
                </c:pt>
                <c:pt idx="2">
                  <c:v>Year 3</c:v>
                </c:pt>
                <c:pt idx="3">
                  <c:v>Year 4</c:v>
                </c:pt>
                <c:pt idx="4">
                  <c:v>Year 5</c:v>
                </c:pt>
              </c:strCache>
            </c:strRef>
          </c:cat>
          <c:val>
            <c:numRef>
              <c:f>Master!$C$144:$G$144</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2-C502-0346-B214-A35A0297EDD2}"/>
            </c:ext>
          </c:extLst>
        </c:ser>
        <c:ser>
          <c:idx val="1"/>
          <c:order val="5"/>
          <c:tx>
            <c:v>California</c:v>
          </c:tx>
          <c:spPr>
            <a:solidFill>
              <a:schemeClr val="accent5">
                <a:lumMod val="40000"/>
                <a:lumOff val="60000"/>
              </a:schemeClr>
            </a:solidFill>
            <a:ln w="12700">
              <a:solidFill>
                <a:srgbClr val="00206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chemeClr val="tx1"/>
                    </a:solidFill>
                    <a:latin typeface="+mn-lt"/>
                    <a:ea typeface="+mn-ea"/>
                    <a:cs typeface="+mn-cs"/>
                  </a:defRPr>
                </a:pPr>
                <a:endParaRPr lang="en-US"/>
              </a:p>
            </c:txPr>
            <c:dLblPos val="ctr"/>
            <c:showLegendKey val="0"/>
            <c:showVal val="1"/>
            <c:showCatName val="0"/>
            <c:showSerName val="1"/>
            <c:showPercent val="0"/>
            <c:showBubbleSize val="0"/>
            <c:showLeaderLines val="0"/>
            <c:extLst>
              <c:ext xmlns:c15="http://schemas.microsoft.com/office/drawing/2012/chart" uri="{CE6537A1-D6FC-4f65-9D91-7224C49458BB}">
                <c15:showLeaderLines val="0"/>
              </c:ext>
            </c:extLst>
          </c:dLbls>
          <c:cat>
            <c:strRef>
              <c:f>Master!$C$27:$G$27</c:f>
              <c:strCache>
                <c:ptCount val="5"/>
                <c:pt idx="0">
                  <c:v>Year 1</c:v>
                </c:pt>
                <c:pt idx="1">
                  <c:v>Year 2</c:v>
                </c:pt>
                <c:pt idx="2">
                  <c:v>Year 3</c:v>
                </c:pt>
                <c:pt idx="3">
                  <c:v>Year 4</c:v>
                </c:pt>
                <c:pt idx="4">
                  <c:v>Year 5</c:v>
                </c:pt>
              </c:strCache>
            </c:strRef>
          </c:cat>
          <c:val>
            <c:numRef>
              <c:f>Master!$C$143:$G$143</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1-C502-0346-B214-A35A0297EDD2}"/>
            </c:ext>
          </c:extLst>
        </c:ser>
        <c:dLbls>
          <c:showLegendKey val="0"/>
          <c:showVal val="0"/>
          <c:showCatName val="0"/>
          <c:showSerName val="0"/>
          <c:showPercent val="0"/>
          <c:showBubbleSize val="0"/>
        </c:dLbls>
        <c:gapWidth val="0"/>
        <c:overlap val="100"/>
        <c:axId val="1147498848"/>
        <c:axId val="1147518256"/>
      </c:barChart>
      <c:catAx>
        <c:axId val="11474988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solidFill>
                <a:latin typeface="+mn-lt"/>
                <a:ea typeface="+mn-ea"/>
                <a:cs typeface="+mn-cs"/>
              </a:defRPr>
            </a:pPr>
            <a:endParaRPr lang="en-US"/>
          </a:p>
        </c:txPr>
        <c:crossAx val="1147518256"/>
        <c:crosses val="autoZero"/>
        <c:auto val="1"/>
        <c:lblAlgn val="ctr"/>
        <c:lblOffset val="100"/>
        <c:noMultiLvlLbl val="0"/>
      </c:catAx>
      <c:valAx>
        <c:axId val="1147518256"/>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b="1">
                    <a:solidFill>
                      <a:schemeClr val="tx1"/>
                    </a:solidFill>
                  </a:rPr>
                  <a:t>Lake</a:t>
                </a:r>
                <a:r>
                  <a:rPr lang="en-US" sz="1500" b="1" baseline="0">
                    <a:solidFill>
                      <a:schemeClr val="tx1"/>
                    </a:solidFill>
                  </a:rPr>
                  <a:t> Mead Active Storage (maf)</a:t>
                </a:r>
                <a:endParaRPr lang="en-US" sz="1500" b="1">
                  <a:solidFill>
                    <a:schemeClr val="tx1"/>
                  </a:solidFill>
                </a:endParaRP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crossAx val="1147498848"/>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CD5CBD06-5EA0-D143-9BD1-904F07A1EEEC}">
  <sheetPr/>
  <sheetViews>
    <sheetView tabSelected="1" zoomScale="210"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34"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409819</xdr:colOff>
      <xdr:row>17</xdr:row>
      <xdr:rowOff>22142</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14</xdr:row>
      <xdr:rowOff>46832</xdr:rowOff>
    </xdr:from>
    <xdr:to>
      <xdr:col>4</xdr:col>
      <xdr:colOff>125015</xdr:colOff>
      <xdr:row>14</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826172</xdr:colOff>
      <xdr:row>17</xdr:row>
      <xdr:rowOff>326763</xdr:rowOff>
    </xdr:from>
    <xdr:to>
      <xdr:col>5</xdr:col>
      <xdr:colOff>529952</xdr:colOff>
      <xdr:row>18</xdr:row>
      <xdr:rowOff>3369541</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097540" y="9965737"/>
          <a:ext cx="3698309" cy="3411838"/>
        </a:xfrm>
        <a:prstGeom prst="rect">
          <a:avLst/>
        </a:prstGeom>
        <a:ln>
          <a:solidFill>
            <a:schemeClr val="tx1"/>
          </a:solidFill>
        </a:ln>
      </xdr:spPr>
    </xdr:pic>
    <xdr:clientData/>
  </xdr:twoCellAnchor>
  <xdr:twoCellAnchor editAs="oneCell">
    <xdr:from>
      <xdr:col>1</xdr:col>
      <xdr:colOff>130256</xdr:colOff>
      <xdr:row>12</xdr:row>
      <xdr:rowOff>54139</xdr:rowOff>
    </xdr:from>
    <xdr:to>
      <xdr:col>6</xdr:col>
      <xdr:colOff>279943</xdr:colOff>
      <xdr:row>12</xdr:row>
      <xdr:rowOff>2899833</xdr:rowOff>
    </xdr:to>
    <xdr:pic>
      <xdr:nvPicPr>
        <xdr:cNvPr id="4" name="Picture 3">
          <a:extLst>
            <a:ext uri="{FF2B5EF4-FFF2-40B4-BE49-F238E27FC236}">
              <a16:creationId xmlns:a16="http://schemas.microsoft.com/office/drawing/2014/main" id="{1DA3826E-7739-B5C6-BED4-46AC3D431D92}"/>
            </a:ext>
          </a:extLst>
        </xdr:cNvPr>
        <xdr:cNvPicPr>
          <a:picLocks noChangeAspect="1"/>
        </xdr:cNvPicPr>
      </xdr:nvPicPr>
      <xdr:blipFill>
        <a:blip xmlns:r="http://schemas.openxmlformats.org/officeDocument/2006/relationships" r:embed="rId4"/>
        <a:stretch>
          <a:fillRect/>
        </a:stretch>
      </xdr:blipFill>
      <xdr:spPr>
        <a:xfrm>
          <a:off x="401624" y="3234566"/>
          <a:ext cx="4697806" cy="2845694"/>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7750" cy="6286500"/>
    <xdr:graphicFrame macro="">
      <xdr:nvGraphicFramePr>
        <xdr:cNvPr id="2" name="Chart 1">
          <a:extLst>
            <a:ext uri="{FF2B5EF4-FFF2-40B4-BE49-F238E27FC236}">
              <a16:creationId xmlns:a16="http://schemas.microsoft.com/office/drawing/2014/main" id="{798FB8B1-E190-278C-9E4F-96F9383B26C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8681493" cy="6293134"/>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5.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ImmersiveModelsColoradoRiver/LakeMeadDivideInflow/blob/main/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ImmersiveModelsColoradoRiver/LakeMeadDivideInflow/blob/main/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1"/>
  <sheetViews>
    <sheetView zoomScale="117" zoomScaleNormal="170" workbookViewId="0">
      <selection activeCell="P19" sqref="P19"/>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77" t="s">
        <v>295</v>
      </c>
      <c r="B1" s="377"/>
      <c r="C1" s="377"/>
      <c r="D1" s="377"/>
      <c r="E1" s="377"/>
      <c r="F1" s="377"/>
      <c r="G1" s="377"/>
      <c r="H1" s="377"/>
      <c r="I1" s="377"/>
      <c r="J1" s="377"/>
      <c r="K1" s="377"/>
      <c r="L1" s="377"/>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8" t="s">
        <v>296</v>
      </c>
      <c r="B4" s="379"/>
      <c r="C4" s="379"/>
      <c r="D4" s="379"/>
      <c r="E4" s="379"/>
      <c r="F4" s="379"/>
      <c r="G4" s="379"/>
      <c r="H4" s="379"/>
      <c r="I4" s="379"/>
      <c r="J4" s="379"/>
      <c r="K4" s="379"/>
      <c r="L4" s="380"/>
      <c r="N4" s="381"/>
      <c r="O4" s="381"/>
      <c r="P4" s="381"/>
      <c r="Q4" s="381"/>
      <c r="R4" s="381"/>
    </row>
    <row r="5" spans="1:18" s="52" customFormat="1" ht="35" customHeight="1" x14ac:dyDescent="0.2">
      <c r="A5" s="382" t="s">
        <v>280</v>
      </c>
      <c r="B5" s="383"/>
      <c r="C5" s="383"/>
      <c r="D5" s="383"/>
      <c r="E5" s="383"/>
      <c r="F5" s="383"/>
      <c r="G5" s="383"/>
      <c r="H5" s="383"/>
      <c r="I5" s="383"/>
      <c r="J5" s="383"/>
      <c r="K5" s="383"/>
      <c r="L5" s="384"/>
      <c r="N5" s="110"/>
      <c r="O5" s="110"/>
      <c r="P5" s="110"/>
      <c r="Q5" s="110"/>
      <c r="R5" s="110"/>
    </row>
    <row r="6" spans="1:18" s="52" customFormat="1" ht="14" customHeight="1" x14ac:dyDescent="0.2">
      <c r="A6" s="382" t="s">
        <v>297</v>
      </c>
      <c r="B6" s="383"/>
      <c r="C6" s="383"/>
      <c r="D6" s="383"/>
      <c r="E6" s="383"/>
      <c r="F6" s="383"/>
      <c r="G6" s="383"/>
      <c r="H6" s="383"/>
      <c r="I6" s="383"/>
      <c r="J6" s="383"/>
      <c r="K6" s="383"/>
      <c r="L6" s="384"/>
      <c r="N6" s="110"/>
      <c r="O6" s="110"/>
      <c r="P6" s="110"/>
      <c r="Q6" s="110"/>
      <c r="R6" s="110"/>
    </row>
    <row r="7" spans="1:18" s="52" customFormat="1" ht="14" customHeight="1" x14ac:dyDescent="0.2">
      <c r="A7" s="214"/>
      <c r="B7" s="383" t="s">
        <v>298</v>
      </c>
      <c r="C7" s="383"/>
      <c r="D7" s="383"/>
      <c r="E7" s="383"/>
      <c r="F7" s="383"/>
      <c r="G7" s="383"/>
      <c r="H7" s="383"/>
      <c r="I7" s="383"/>
      <c r="J7" s="383"/>
      <c r="K7" s="383"/>
      <c r="L7" s="384"/>
      <c r="N7" s="110"/>
      <c r="O7" s="110"/>
      <c r="P7" s="110"/>
      <c r="Q7" s="110"/>
      <c r="R7" s="110"/>
    </row>
    <row r="8" spans="1:18" s="52" customFormat="1" ht="14" customHeight="1" x14ac:dyDescent="0.2">
      <c r="A8" s="215"/>
      <c r="B8" s="398" t="s">
        <v>299</v>
      </c>
      <c r="C8" s="398"/>
      <c r="D8" s="398"/>
      <c r="E8" s="398"/>
      <c r="F8" s="398"/>
      <c r="G8" s="398"/>
      <c r="H8" s="398"/>
      <c r="I8" s="398"/>
      <c r="J8" s="398"/>
      <c r="K8" s="398"/>
      <c r="L8" s="399"/>
      <c r="N8" s="110"/>
      <c r="O8" s="110"/>
      <c r="P8" s="110"/>
      <c r="Q8" s="110"/>
      <c r="R8" s="110"/>
    </row>
    <row r="9" spans="1:18" s="57" customFormat="1" ht="14.5" customHeight="1" x14ac:dyDescent="0.2">
      <c r="A9" s="110"/>
      <c r="B9" s="110"/>
      <c r="C9" s="110"/>
      <c r="D9" s="110"/>
      <c r="E9" s="110"/>
      <c r="F9" s="110"/>
      <c r="G9" s="110"/>
      <c r="H9" s="110"/>
      <c r="I9" s="110"/>
      <c r="J9" s="110"/>
      <c r="K9" s="110"/>
      <c r="L9" s="110"/>
    </row>
    <row r="10" spans="1:18" s="57" customFormat="1" ht="14.5" customHeight="1" x14ac:dyDescent="0.2">
      <c r="A10" s="400" t="s">
        <v>334</v>
      </c>
      <c r="B10" s="401"/>
      <c r="C10" s="401"/>
      <c r="D10" s="401"/>
      <c r="E10" s="401"/>
      <c r="F10" s="401"/>
      <c r="G10" s="401"/>
      <c r="H10" s="401"/>
      <c r="I10" s="401"/>
      <c r="J10" s="401"/>
      <c r="K10" s="401"/>
      <c r="L10" s="402"/>
    </row>
    <row r="11" spans="1:18" s="57" customFormat="1" ht="14.5" customHeight="1" x14ac:dyDescent="0.2">
      <c r="A11" s="344"/>
      <c r="B11" s="343"/>
      <c r="C11" s="343"/>
      <c r="D11" s="343"/>
      <c r="E11" s="343"/>
      <c r="F11" s="343"/>
      <c r="G11" s="343"/>
      <c r="H11" s="343"/>
      <c r="I11" s="343"/>
      <c r="J11" s="343"/>
      <c r="K11" s="343"/>
      <c r="L11" s="342"/>
    </row>
    <row r="12" spans="1:18" s="57" customFormat="1" ht="33.5" customHeight="1" x14ac:dyDescent="0.2">
      <c r="A12" s="344" t="s">
        <v>335</v>
      </c>
      <c r="B12" s="403" t="s">
        <v>478</v>
      </c>
      <c r="C12" s="403"/>
      <c r="D12" s="403"/>
      <c r="E12" s="403"/>
      <c r="F12" s="403"/>
      <c r="G12" s="403"/>
      <c r="H12" s="403"/>
      <c r="I12" s="403"/>
      <c r="J12" s="403"/>
      <c r="K12" s="403"/>
      <c r="L12" s="404"/>
    </row>
    <row r="13" spans="1:18" s="57" customFormat="1" ht="231" customHeight="1" x14ac:dyDescent="0.2">
      <c r="A13" s="344"/>
      <c r="B13" s="343"/>
      <c r="C13" s="343"/>
      <c r="D13" s="343"/>
      <c r="E13" s="343"/>
      <c r="F13" s="343"/>
      <c r="G13" s="343"/>
      <c r="H13" s="343"/>
      <c r="I13" s="343"/>
      <c r="J13" s="343"/>
      <c r="K13" s="343"/>
      <c r="L13" s="342"/>
    </row>
    <row r="14" spans="1:18" s="56" customFormat="1" ht="14.5" customHeight="1" x14ac:dyDescent="0.2">
      <c r="A14" s="235" t="s">
        <v>336</v>
      </c>
      <c r="B14" s="353" t="s">
        <v>338</v>
      </c>
      <c r="C14" s="353"/>
      <c r="D14" s="353"/>
      <c r="E14" s="353"/>
      <c r="F14" s="353"/>
      <c r="G14" s="353"/>
      <c r="H14" s="353"/>
      <c r="I14" s="353"/>
      <c r="J14" s="353"/>
      <c r="K14" s="353"/>
      <c r="L14" s="354"/>
    </row>
    <row r="15" spans="1:18" s="57" customFormat="1" ht="161.5" customHeight="1" x14ac:dyDescent="0.2">
      <c r="A15" s="227"/>
      <c r="B15" s="233"/>
      <c r="C15" s="233"/>
      <c r="D15" s="233"/>
      <c r="E15" s="233"/>
      <c r="F15" s="233"/>
      <c r="G15" s="233"/>
      <c r="H15" s="233"/>
      <c r="I15" s="233"/>
      <c r="J15" s="233"/>
      <c r="K15" s="233"/>
      <c r="L15" s="234"/>
    </row>
    <row r="16" spans="1:18" s="56" customFormat="1" ht="14.5" customHeight="1" x14ac:dyDescent="0.2">
      <c r="A16" s="235" t="s">
        <v>337</v>
      </c>
      <c r="B16" s="353" t="s">
        <v>339</v>
      </c>
      <c r="C16" s="353"/>
      <c r="D16" s="353"/>
      <c r="E16" s="353"/>
      <c r="F16" s="353"/>
      <c r="G16" s="353"/>
      <c r="H16" s="353"/>
      <c r="I16" s="353"/>
      <c r="J16" s="353"/>
      <c r="K16" s="353"/>
      <c r="L16" s="354"/>
    </row>
    <row r="17" spans="1:14" s="57" customFormat="1" ht="90.5" customHeight="1" x14ac:dyDescent="0.2">
      <c r="A17" s="227"/>
      <c r="B17" s="355"/>
      <c r="C17" s="355"/>
      <c r="D17" s="355"/>
      <c r="E17" s="355"/>
      <c r="F17" s="355"/>
      <c r="G17" s="355"/>
      <c r="H17" s="355"/>
      <c r="I17" s="355"/>
      <c r="J17" s="355"/>
      <c r="K17" s="355"/>
      <c r="L17" s="356"/>
    </row>
    <row r="18" spans="1:14" s="56" customFormat="1" ht="29" customHeight="1" x14ac:dyDescent="0.2">
      <c r="A18" s="235" t="s">
        <v>477</v>
      </c>
      <c r="B18" s="353" t="s">
        <v>465</v>
      </c>
      <c r="C18" s="353"/>
      <c r="D18" s="353"/>
      <c r="E18" s="353"/>
      <c r="F18" s="353"/>
      <c r="G18" s="353"/>
      <c r="H18" s="353"/>
      <c r="I18" s="353"/>
      <c r="J18" s="353"/>
      <c r="K18" s="353"/>
      <c r="L18" s="354"/>
    </row>
    <row r="19" spans="1:14" s="57" customFormat="1" ht="269" customHeight="1" x14ac:dyDescent="0.2">
      <c r="A19" s="227"/>
      <c r="B19" s="233"/>
      <c r="C19" s="233"/>
      <c r="D19" s="233"/>
      <c r="E19" s="233"/>
      <c r="F19" s="233"/>
      <c r="G19" s="233"/>
      <c r="H19" s="233"/>
      <c r="I19" s="233"/>
      <c r="J19" s="233"/>
      <c r="K19" s="233"/>
      <c r="L19" s="234"/>
    </row>
    <row r="20" spans="1:14" s="57" customFormat="1" ht="14.5" customHeight="1" x14ac:dyDescent="0.2">
      <c r="A20" s="351" t="s">
        <v>343</v>
      </c>
      <c r="B20" s="352"/>
      <c r="C20" s="352"/>
      <c r="D20" s="352"/>
      <c r="E20" s="232" t="s">
        <v>344</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85" t="s">
        <v>165</v>
      </c>
      <c r="B22" s="386"/>
      <c r="C22" s="386"/>
      <c r="D22" s="386"/>
      <c r="E22" s="386"/>
      <c r="F22" s="386"/>
      <c r="G22" s="386"/>
      <c r="H22" s="386"/>
      <c r="I22" s="386"/>
      <c r="J22" s="386"/>
      <c r="K22" s="386"/>
      <c r="L22" s="387"/>
    </row>
    <row r="23" spans="1:14" s="57" customFormat="1" ht="14.5" customHeight="1" x14ac:dyDescent="0.2">
      <c r="A23" s="388" t="s">
        <v>281</v>
      </c>
      <c r="B23" s="389"/>
      <c r="C23" s="389"/>
      <c r="D23" s="389"/>
      <c r="E23" s="389"/>
      <c r="F23" s="389"/>
      <c r="G23" s="389"/>
      <c r="H23" s="389"/>
      <c r="I23" s="389"/>
      <c r="J23" s="389"/>
      <c r="K23" s="389"/>
      <c r="L23" s="390"/>
    </row>
    <row r="24" spans="1:14" s="57" customFormat="1" ht="14.5" customHeight="1" x14ac:dyDescent="0.2">
      <c r="A24" s="391" t="s">
        <v>282</v>
      </c>
      <c r="B24" s="367"/>
      <c r="C24" s="367"/>
      <c r="D24" s="367"/>
      <c r="E24" s="367"/>
      <c r="F24" s="367"/>
      <c r="G24" s="367"/>
      <c r="H24" s="367"/>
      <c r="I24" s="367"/>
      <c r="J24" s="367"/>
      <c r="K24" s="367"/>
      <c r="L24" s="368"/>
    </row>
    <row r="25" spans="1:14" s="57" customFormat="1" ht="14.5" customHeight="1" x14ac:dyDescent="0.2">
      <c r="A25" s="391" t="s">
        <v>166</v>
      </c>
      <c r="B25" s="367"/>
      <c r="C25" s="367"/>
      <c r="D25" s="367"/>
      <c r="E25" s="367"/>
      <c r="F25" s="367"/>
      <c r="G25" s="367"/>
      <c r="H25" s="367"/>
      <c r="I25" s="367"/>
      <c r="J25" s="367"/>
      <c r="K25" s="367"/>
      <c r="L25" s="368"/>
    </row>
    <row r="26" spans="1:14" s="57" customFormat="1" ht="14.5" customHeight="1" x14ac:dyDescent="0.2">
      <c r="A26" s="392" t="s">
        <v>283</v>
      </c>
      <c r="B26" s="393"/>
      <c r="C26" s="393"/>
      <c r="D26" s="393"/>
      <c r="E26" s="393"/>
      <c r="F26" s="393"/>
      <c r="G26" s="393"/>
      <c r="H26" s="393"/>
      <c r="I26" s="393"/>
      <c r="J26" s="393"/>
      <c r="K26" s="393"/>
      <c r="L26" s="394"/>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95" t="s">
        <v>279</v>
      </c>
      <c r="B28" s="396"/>
      <c r="C28" s="396"/>
      <c r="D28" s="396"/>
      <c r="E28" s="396"/>
      <c r="F28" s="396"/>
      <c r="G28" s="396"/>
      <c r="H28" s="396"/>
      <c r="I28" s="396"/>
      <c r="J28" s="396"/>
      <c r="K28" s="396"/>
      <c r="L28" s="397"/>
      <c r="N28" s="1"/>
    </row>
    <row r="29" spans="1:14" s="57" customFormat="1" ht="16.5" customHeight="1" x14ac:dyDescent="0.2">
      <c r="A29" s="374" t="s">
        <v>175</v>
      </c>
      <c r="B29" s="375"/>
      <c r="C29" s="375"/>
      <c r="D29" s="375"/>
      <c r="E29" s="375"/>
      <c r="F29" s="375"/>
      <c r="G29" s="375"/>
      <c r="H29" s="375"/>
      <c r="I29" s="375"/>
      <c r="J29" s="375"/>
      <c r="K29" s="375"/>
      <c r="L29" s="376"/>
      <c r="N29" s="1"/>
    </row>
    <row r="30" spans="1:14" s="57" customFormat="1" ht="15" customHeight="1" x14ac:dyDescent="0.2">
      <c r="A30" s="209">
        <v>1</v>
      </c>
      <c r="B30" s="360" t="s">
        <v>174</v>
      </c>
      <c r="C30" s="360"/>
      <c r="D30" s="360"/>
      <c r="E30" s="360"/>
      <c r="F30" s="360"/>
      <c r="G30" s="360"/>
      <c r="H30" s="360"/>
      <c r="I30" s="360"/>
      <c r="J30" s="360"/>
      <c r="K30" s="360"/>
      <c r="L30" s="361"/>
    </row>
    <row r="31" spans="1:14" s="57" customFormat="1" ht="30" customHeight="1" x14ac:dyDescent="0.2">
      <c r="A31" s="209">
        <v>2</v>
      </c>
      <c r="B31" s="360" t="s">
        <v>275</v>
      </c>
      <c r="C31" s="360"/>
      <c r="D31" s="360"/>
      <c r="E31" s="360"/>
      <c r="F31" s="360"/>
      <c r="G31" s="360"/>
      <c r="H31" s="360"/>
      <c r="I31" s="360"/>
      <c r="J31" s="360"/>
      <c r="K31" s="360"/>
      <c r="L31" s="361"/>
      <c r="N31" s="104"/>
    </row>
    <row r="32" spans="1:14" s="57" customFormat="1" ht="15" customHeight="1" x14ac:dyDescent="0.2">
      <c r="A32" s="209">
        <v>3</v>
      </c>
      <c r="B32" s="360" t="s">
        <v>167</v>
      </c>
      <c r="C32" s="360"/>
      <c r="D32" s="360"/>
      <c r="E32" s="360"/>
      <c r="F32" s="360"/>
      <c r="G32" s="360"/>
      <c r="H32" s="360"/>
      <c r="I32" s="360"/>
      <c r="J32" s="360"/>
      <c r="K32" s="360"/>
      <c r="L32" s="361"/>
      <c r="N32" s="104"/>
    </row>
    <row r="33" spans="1:14" s="57" customFormat="1" ht="15" customHeight="1" x14ac:dyDescent="0.2">
      <c r="A33" s="209">
        <v>4</v>
      </c>
      <c r="B33" s="360" t="s">
        <v>284</v>
      </c>
      <c r="C33" s="360"/>
      <c r="D33" s="360"/>
      <c r="E33" s="360"/>
      <c r="F33" s="360"/>
      <c r="G33" s="360"/>
      <c r="H33" s="360"/>
      <c r="I33" s="360"/>
      <c r="J33" s="360"/>
      <c r="K33" s="360"/>
      <c r="L33" s="361"/>
      <c r="N33" s="104"/>
    </row>
    <row r="34" spans="1:14" s="57" customFormat="1" ht="15" customHeight="1" x14ac:dyDescent="0.2">
      <c r="A34" s="209">
        <v>5</v>
      </c>
      <c r="B34" s="360" t="s">
        <v>168</v>
      </c>
      <c r="C34" s="360"/>
      <c r="D34" s="360"/>
      <c r="E34" s="360"/>
      <c r="F34" s="360"/>
      <c r="G34" s="360"/>
      <c r="H34" s="360"/>
      <c r="I34" s="360"/>
      <c r="J34" s="360"/>
      <c r="K34" s="360"/>
      <c r="L34" s="361"/>
      <c r="N34" s="104"/>
    </row>
    <row r="35" spans="1:14" s="57" customFormat="1" ht="15" customHeight="1" x14ac:dyDescent="0.2">
      <c r="A35" s="209"/>
      <c r="B35" s="360" t="s">
        <v>169</v>
      </c>
      <c r="C35" s="360"/>
      <c r="D35" s="360"/>
      <c r="E35" s="360"/>
      <c r="F35" s="360"/>
      <c r="G35" s="360"/>
      <c r="H35" s="360"/>
      <c r="I35" s="360"/>
      <c r="J35" s="360"/>
      <c r="K35" s="360"/>
      <c r="L35" s="361"/>
      <c r="N35" s="104"/>
    </row>
    <row r="36" spans="1:14" s="57" customFormat="1" ht="15" customHeight="1" x14ac:dyDescent="0.2">
      <c r="A36" s="209"/>
      <c r="B36" s="360" t="s">
        <v>170</v>
      </c>
      <c r="C36" s="360"/>
      <c r="D36" s="360"/>
      <c r="E36" s="360"/>
      <c r="F36" s="360"/>
      <c r="G36" s="360"/>
      <c r="H36" s="360"/>
      <c r="I36" s="360"/>
      <c r="J36" s="360"/>
      <c r="K36" s="360"/>
      <c r="L36" s="361"/>
      <c r="N36" s="104"/>
    </row>
    <row r="37" spans="1:14" s="57" customFormat="1" ht="15" customHeight="1" x14ac:dyDescent="0.2">
      <c r="A37" s="369" t="s">
        <v>176</v>
      </c>
      <c r="B37" s="370"/>
      <c r="C37" s="370"/>
      <c r="D37" s="370"/>
      <c r="E37" s="370"/>
      <c r="F37" s="370"/>
      <c r="G37" s="370"/>
      <c r="H37" s="370"/>
      <c r="I37" s="370"/>
      <c r="J37" s="370"/>
      <c r="K37" s="370"/>
      <c r="L37" s="371"/>
      <c r="N37" s="104"/>
    </row>
    <row r="38" spans="1:14" s="57" customFormat="1" ht="15" customHeight="1" x14ac:dyDescent="0.2">
      <c r="A38" s="209">
        <v>1</v>
      </c>
      <c r="B38" s="360" t="s">
        <v>171</v>
      </c>
      <c r="C38" s="360"/>
      <c r="D38" s="360"/>
      <c r="E38" s="360"/>
      <c r="F38" s="360"/>
      <c r="G38" s="360"/>
      <c r="H38" s="360"/>
      <c r="I38" s="360"/>
      <c r="J38" s="360"/>
      <c r="K38" s="360"/>
      <c r="L38" s="361"/>
      <c r="N38" s="104"/>
    </row>
    <row r="39" spans="1:14" s="57" customFormat="1" ht="30.75" customHeight="1" x14ac:dyDescent="0.2">
      <c r="A39" s="209"/>
      <c r="B39" s="358" t="s">
        <v>426</v>
      </c>
      <c r="C39" s="358"/>
      <c r="D39" s="358"/>
      <c r="E39" s="358"/>
      <c r="F39" s="358"/>
      <c r="G39" s="358"/>
      <c r="H39" s="358"/>
      <c r="I39" s="358"/>
      <c r="J39" s="358"/>
      <c r="K39" s="358"/>
      <c r="L39" s="359"/>
      <c r="N39" s="104"/>
    </row>
    <row r="40" spans="1:14" s="57" customFormat="1" ht="29.5" customHeight="1" x14ac:dyDescent="0.2">
      <c r="A40" s="209">
        <v>2</v>
      </c>
      <c r="B40" s="360" t="s">
        <v>278</v>
      </c>
      <c r="C40" s="360"/>
      <c r="D40" s="360"/>
      <c r="E40" s="360"/>
      <c r="F40" s="360"/>
      <c r="G40" s="360"/>
      <c r="H40" s="360"/>
      <c r="I40" s="360"/>
      <c r="J40" s="360"/>
      <c r="K40" s="360"/>
      <c r="L40" s="361"/>
      <c r="N40" s="104"/>
    </row>
    <row r="41" spans="1:14" s="57" customFormat="1" ht="26.5" customHeight="1" x14ac:dyDescent="0.2">
      <c r="A41" s="209">
        <v>3</v>
      </c>
      <c r="B41" s="360" t="s">
        <v>475</v>
      </c>
      <c r="C41" s="360"/>
      <c r="D41" s="360"/>
      <c r="E41" s="360"/>
      <c r="F41" s="360"/>
      <c r="G41" s="360"/>
      <c r="H41" s="360"/>
      <c r="I41" s="360"/>
      <c r="J41" s="360"/>
      <c r="K41" s="360"/>
      <c r="L41" s="361"/>
      <c r="N41" s="104"/>
    </row>
    <row r="42" spans="1:14" s="57" customFormat="1" ht="33" customHeight="1" x14ac:dyDescent="0.2">
      <c r="A42" s="209">
        <v>4</v>
      </c>
      <c r="B42" s="360" t="s">
        <v>285</v>
      </c>
      <c r="C42" s="360"/>
      <c r="D42" s="360"/>
      <c r="E42" s="360"/>
      <c r="F42" s="360"/>
      <c r="G42" s="360"/>
      <c r="H42" s="360"/>
      <c r="I42" s="360"/>
      <c r="J42" s="360"/>
      <c r="K42" s="360"/>
      <c r="L42" s="361"/>
      <c r="N42" s="104"/>
    </row>
    <row r="43" spans="1:14" s="57" customFormat="1" ht="15" customHeight="1" x14ac:dyDescent="0.2">
      <c r="A43" s="209">
        <v>5</v>
      </c>
      <c r="B43" s="358" t="s">
        <v>269</v>
      </c>
      <c r="C43" s="358"/>
      <c r="D43" s="358"/>
      <c r="E43" s="358"/>
      <c r="F43" s="358"/>
      <c r="G43" s="358"/>
      <c r="H43" s="358"/>
      <c r="I43" s="358"/>
      <c r="J43" s="358"/>
      <c r="K43" s="358"/>
      <c r="L43" s="359"/>
      <c r="N43" s="104"/>
    </row>
    <row r="44" spans="1:14" s="57" customFormat="1" ht="28.5" customHeight="1" x14ac:dyDescent="0.2">
      <c r="A44" s="209">
        <v>6</v>
      </c>
      <c r="B44" s="358" t="s">
        <v>476</v>
      </c>
      <c r="C44" s="358"/>
      <c r="D44" s="358"/>
      <c r="E44" s="358"/>
      <c r="F44" s="358"/>
      <c r="G44" s="358"/>
      <c r="H44" s="358"/>
      <c r="I44" s="358"/>
      <c r="J44" s="358"/>
      <c r="K44" s="358"/>
      <c r="L44" s="359"/>
      <c r="N44" s="104"/>
    </row>
    <row r="45" spans="1:14" s="57" customFormat="1" ht="16.5" customHeight="1" x14ac:dyDescent="0.2">
      <c r="A45" s="209">
        <v>7</v>
      </c>
      <c r="B45" s="360" t="s">
        <v>270</v>
      </c>
      <c r="C45" s="360"/>
      <c r="D45" s="360"/>
      <c r="E45" s="360"/>
      <c r="F45" s="360"/>
      <c r="G45" s="360"/>
      <c r="H45" s="360"/>
      <c r="I45" s="360"/>
      <c r="J45" s="360"/>
      <c r="K45" s="360"/>
      <c r="L45" s="361"/>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69" t="s">
        <v>273</v>
      </c>
      <c r="B47" s="370"/>
      <c r="C47" s="370"/>
      <c r="D47" s="370"/>
      <c r="E47" s="370"/>
      <c r="F47" s="370"/>
      <c r="G47" s="370"/>
      <c r="H47" s="370"/>
      <c r="I47" s="370"/>
      <c r="J47" s="370"/>
      <c r="K47" s="370"/>
      <c r="L47" s="371"/>
    </row>
    <row r="48" spans="1:14" s="57" customFormat="1" ht="15" customHeight="1" x14ac:dyDescent="0.2">
      <c r="A48" s="212" t="s">
        <v>271</v>
      </c>
      <c r="B48" s="360" t="s">
        <v>172</v>
      </c>
      <c r="C48" s="360"/>
      <c r="D48" s="360"/>
      <c r="E48" s="360"/>
      <c r="F48" s="360"/>
      <c r="G48" s="360"/>
      <c r="H48" s="360"/>
      <c r="I48" s="360"/>
      <c r="J48" s="360"/>
      <c r="K48" s="360"/>
      <c r="L48" s="361"/>
    </row>
    <row r="49" spans="1:12" s="57" customFormat="1" ht="30.75" customHeight="1" x14ac:dyDescent="0.2">
      <c r="A49" s="213" t="s">
        <v>272</v>
      </c>
      <c r="B49" s="362" t="s">
        <v>274</v>
      </c>
      <c r="C49" s="362"/>
      <c r="D49" s="362"/>
      <c r="E49" s="362"/>
      <c r="F49" s="362"/>
      <c r="G49" s="362"/>
      <c r="H49" s="362"/>
      <c r="I49" s="362"/>
      <c r="J49" s="362"/>
      <c r="K49" s="362"/>
      <c r="L49" s="363"/>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64" t="s">
        <v>200</v>
      </c>
      <c r="B51" s="365"/>
      <c r="C51" s="365"/>
      <c r="D51" s="365"/>
      <c r="E51" s="365"/>
      <c r="F51" s="365"/>
      <c r="G51" s="365"/>
      <c r="H51" s="365"/>
      <c r="I51" s="365"/>
      <c r="J51" s="365"/>
      <c r="K51" s="365"/>
      <c r="L51" s="366"/>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427</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67" t="s">
        <v>262</v>
      </c>
      <c r="D57" s="367"/>
      <c r="E57" s="367"/>
      <c r="F57" s="367"/>
      <c r="G57" s="367"/>
      <c r="H57" s="367"/>
      <c r="I57" s="367"/>
      <c r="J57" s="367"/>
      <c r="K57" s="367"/>
      <c r="L57" s="368"/>
    </row>
    <row r="58" spans="1:12" s="56" customFormat="1" ht="33.75" customHeight="1" x14ac:dyDescent="0.2">
      <c r="A58" s="164"/>
      <c r="B58" s="165" t="s">
        <v>263</v>
      </c>
      <c r="C58" s="367" t="s">
        <v>264</v>
      </c>
      <c r="D58" s="367"/>
      <c r="E58" s="367"/>
      <c r="F58" s="367"/>
      <c r="G58" s="367"/>
      <c r="H58" s="367"/>
      <c r="I58" s="367"/>
      <c r="J58" s="367"/>
      <c r="K58" s="367"/>
      <c r="L58" s="368"/>
    </row>
    <row r="59" spans="1:12" s="56" customFormat="1" ht="33.75" customHeight="1" x14ac:dyDescent="0.2">
      <c r="A59" s="164"/>
      <c r="B59" s="165" t="s">
        <v>327</v>
      </c>
      <c r="C59" s="367" t="s">
        <v>328</v>
      </c>
      <c r="D59" s="367"/>
      <c r="E59" s="367"/>
      <c r="F59" s="367"/>
      <c r="G59" s="367"/>
      <c r="H59" s="367"/>
      <c r="I59" s="367"/>
      <c r="J59" s="367"/>
      <c r="K59" s="367"/>
      <c r="L59" s="368"/>
    </row>
    <row r="60" spans="1:12" ht="30.75" customHeight="1" x14ac:dyDescent="0.2">
      <c r="A60" s="164"/>
      <c r="B60" s="165" t="s">
        <v>98</v>
      </c>
      <c r="C60" s="367" t="s">
        <v>99</v>
      </c>
      <c r="D60" s="367"/>
      <c r="E60" s="367"/>
      <c r="F60" s="367"/>
      <c r="G60" s="367"/>
      <c r="H60" s="367"/>
      <c r="I60" s="367"/>
      <c r="J60" s="367"/>
      <c r="K60" s="367"/>
      <c r="L60" s="368"/>
    </row>
    <row r="61" spans="1:12" ht="30.75" customHeight="1" x14ac:dyDescent="0.2">
      <c r="A61" s="164"/>
      <c r="B61" s="165" t="s">
        <v>198</v>
      </c>
      <c r="C61" s="367" t="s">
        <v>199</v>
      </c>
      <c r="D61" s="367"/>
      <c r="E61" s="367"/>
      <c r="F61" s="367"/>
      <c r="G61" s="367"/>
      <c r="H61" s="367"/>
      <c r="I61" s="367"/>
      <c r="J61" s="367"/>
      <c r="K61" s="367"/>
      <c r="L61" s="368"/>
    </row>
    <row r="62" spans="1:12" ht="31" customHeight="1" x14ac:dyDescent="0.2">
      <c r="A62" s="164"/>
      <c r="B62" s="165" t="s">
        <v>163</v>
      </c>
      <c r="C62" s="367" t="s">
        <v>466</v>
      </c>
      <c r="D62" s="372"/>
      <c r="E62" s="372"/>
      <c r="F62" s="372"/>
      <c r="G62" s="372"/>
      <c r="H62" s="372"/>
      <c r="I62" s="372"/>
      <c r="J62" s="372"/>
      <c r="K62" s="372"/>
      <c r="L62" s="373"/>
    </row>
    <row r="63" spans="1:12" ht="14.5" customHeight="1" x14ac:dyDescent="0.2">
      <c r="A63" s="164"/>
      <c r="B63" s="165" t="s">
        <v>393</v>
      </c>
      <c r="C63" s="367" t="s">
        <v>394</v>
      </c>
      <c r="D63" s="367"/>
      <c r="E63" s="367"/>
      <c r="F63" s="367"/>
      <c r="G63" s="367"/>
      <c r="H63" s="367"/>
      <c r="I63" s="367"/>
      <c r="J63" s="367"/>
      <c r="K63" s="367"/>
      <c r="L63" s="368"/>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395</v>
      </c>
    </row>
    <row r="74" spans="1:12" x14ac:dyDescent="0.2">
      <c r="A74" t="s">
        <v>54</v>
      </c>
    </row>
    <row r="75" spans="1:12" x14ac:dyDescent="0.2">
      <c r="A75" s="43" t="s">
        <v>396</v>
      </c>
    </row>
    <row r="76" spans="1:12" x14ac:dyDescent="0.2">
      <c r="A76" s="43"/>
    </row>
    <row r="77" spans="1:12" x14ac:dyDescent="0.2">
      <c r="A77" s="229" t="s">
        <v>340</v>
      </c>
    </row>
    <row r="78" spans="1:12" x14ac:dyDescent="0.2">
      <c r="A78" s="228" t="s">
        <v>341</v>
      </c>
    </row>
    <row r="79" spans="1:12" x14ac:dyDescent="0.2">
      <c r="A79" s="43" t="s">
        <v>342</v>
      </c>
    </row>
    <row r="80" spans="1:12" x14ac:dyDescent="0.2">
      <c r="A80" s="43"/>
    </row>
    <row r="81" spans="1:12" x14ac:dyDescent="0.2">
      <c r="A81" s="1" t="s">
        <v>161</v>
      </c>
    </row>
    <row r="82" spans="1:12" x14ac:dyDescent="0.2">
      <c r="A82" s="43" t="s">
        <v>265</v>
      </c>
    </row>
    <row r="84" spans="1:12" x14ac:dyDescent="0.2">
      <c r="A84" s="1" t="s">
        <v>23</v>
      </c>
    </row>
    <row r="85" spans="1:12" ht="29.25" customHeight="1" x14ac:dyDescent="0.2">
      <c r="A85" s="357" t="s">
        <v>397</v>
      </c>
      <c r="B85" s="357"/>
      <c r="C85" s="357"/>
      <c r="D85" s="357"/>
      <c r="E85" s="357"/>
      <c r="F85" s="357"/>
      <c r="G85" s="357"/>
      <c r="H85" s="357"/>
      <c r="I85" s="357"/>
      <c r="J85" s="357"/>
      <c r="K85" s="357"/>
      <c r="L85" s="357"/>
    </row>
    <row r="90" spans="1:12" ht="16" customHeight="1" x14ac:dyDescent="0.2"/>
    <row r="91" spans="1:12" ht="29.25" customHeight="1" x14ac:dyDescent="0.2"/>
  </sheetData>
  <mergeCells count="49">
    <mergeCell ref="A29:L29"/>
    <mergeCell ref="A1:L1"/>
    <mergeCell ref="A4:L4"/>
    <mergeCell ref="N4:R4"/>
    <mergeCell ref="A5:L5"/>
    <mergeCell ref="A6:L6"/>
    <mergeCell ref="A22:L22"/>
    <mergeCell ref="A23:L23"/>
    <mergeCell ref="A24:L24"/>
    <mergeCell ref="A25:L25"/>
    <mergeCell ref="A26:L26"/>
    <mergeCell ref="A28:L28"/>
    <mergeCell ref="B7:L7"/>
    <mergeCell ref="B8:L8"/>
    <mergeCell ref="A10:L10"/>
    <mergeCell ref="B12:L12"/>
    <mergeCell ref="B43:L43"/>
    <mergeCell ref="B30:L30"/>
    <mergeCell ref="B31:L31"/>
    <mergeCell ref="B32:L32"/>
    <mergeCell ref="B33:L33"/>
    <mergeCell ref="B34:L34"/>
    <mergeCell ref="B35:L35"/>
    <mergeCell ref="B36:L36"/>
    <mergeCell ref="A37:L37"/>
    <mergeCell ref="B38:L38"/>
    <mergeCell ref="B39:L39"/>
    <mergeCell ref="B41:L41"/>
    <mergeCell ref="B40:L40"/>
    <mergeCell ref="B42:L42"/>
    <mergeCell ref="A85:L85"/>
    <mergeCell ref="B44:L44"/>
    <mergeCell ref="B45:L45"/>
    <mergeCell ref="B48:L48"/>
    <mergeCell ref="B49:L49"/>
    <mergeCell ref="A51:L51"/>
    <mergeCell ref="C57:L57"/>
    <mergeCell ref="C60:L60"/>
    <mergeCell ref="C61:L61"/>
    <mergeCell ref="C58:L58"/>
    <mergeCell ref="C63:L63"/>
    <mergeCell ref="A47:L47"/>
    <mergeCell ref="C59:L59"/>
    <mergeCell ref="C62:L62"/>
    <mergeCell ref="A20:D20"/>
    <mergeCell ref="B16:L16"/>
    <mergeCell ref="B17:L17"/>
    <mergeCell ref="B18:L18"/>
    <mergeCell ref="B14:L14"/>
  </mergeCells>
  <hyperlinks>
    <hyperlink ref="A70" r:id="rId1" xr:uid="{C9866D44-2827-49D7-B9C3-89CF23FACDC1}"/>
    <hyperlink ref="A71" r:id="rId2" xr:uid="{66F54200-A2AB-43DA-A0E0-F2A25A075EE5}"/>
    <hyperlink ref="A82" r:id="rId3" xr:uid="{A0F8DE06-D9FC-495F-9A01-AA199CB82365}"/>
    <hyperlink ref="A51:L51" r:id="rId4" display="LETS START (visual directions as pdf)" xr:uid="{0D075873-7EBB-4309-B00A-6A62EA192A0C}"/>
    <hyperlink ref="A52" r:id="rId5" xr:uid="{25154A32-BA44-496E-9945-086DE0980DBD}"/>
    <hyperlink ref="A79" r:id="rId6" xr:uid="{AA792CE4-4071-4CE8-87C6-993A0BA6C6A5}"/>
    <hyperlink ref="E20" r:id="rId7" xr:uid="{218FEB9D-6782-4420-9DCE-4D6F20EDE6D5}"/>
    <hyperlink ref="A75"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291</v>
      </c>
      <c r="C5" s="54" t="s">
        <v>292</v>
      </c>
      <c r="D5" s="53">
        <v>4</v>
      </c>
      <c r="E5" s="53" t="s">
        <v>240</v>
      </c>
      <c r="F5" s="53" t="s">
        <v>240</v>
      </c>
      <c r="G5" s="55"/>
      <c r="I5" s="37"/>
      <c r="J5" s="37"/>
      <c r="K5" s="39"/>
    </row>
    <row r="6" spans="1:11" ht="38.5" customHeight="1" x14ac:dyDescent="0.2">
      <c r="A6" s="55">
        <v>45666</v>
      </c>
      <c r="B6" s="146" t="s">
        <v>300</v>
      </c>
      <c r="C6" s="54" t="s">
        <v>301</v>
      </c>
      <c r="D6" s="53">
        <v>3</v>
      </c>
      <c r="E6" s="53" t="s">
        <v>240</v>
      </c>
      <c r="F6" s="53" t="s">
        <v>240</v>
      </c>
      <c r="G6" s="55"/>
      <c r="I6" s="37"/>
      <c r="J6" s="37"/>
      <c r="K6" s="38"/>
    </row>
    <row r="7" spans="1:11" ht="64" x14ac:dyDescent="0.2">
      <c r="A7" s="55">
        <v>45670</v>
      </c>
      <c r="B7" s="146" t="s">
        <v>305</v>
      </c>
      <c r="C7" s="37" t="s">
        <v>302</v>
      </c>
      <c r="D7" s="53">
        <v>0.5</v>
      </c>
      <c r="E7" s="53" t="s">
        <v>240</v>
      </c>
      <c r="F7" s="53" t="s">
        <v>240</v>
      </c>
      <c r="G7" s="55"/>
      <c r="I7" s="37"/>
      <c r="J7" s="40"/>
      <c r="K7" s="39"/>
    </row>
    <row r="8" spans="1:11" ht="32" x14ac:dyDescent="0.2">
      <c r="A8" s="55">
        <v>45671</v>
      </c>
      <c r="B8" s="146" t="s">
        <v>332</v>
      </c>
      <c r="C8" s="54" t="s">
        <v>333</v>
      </c>
      <c r="D8" s="53">
        <v>0.5</v>
      </c>
      <c r="E8" s="53" t="s">
        <v>240</v>
      </c>
      <c r="F8" s="53" t="s">
        <v>240</v>
      </c>
      <c r="G8" s="55"/>
      <c r="I8" s="37"/>
      <c r="J8" s="40"/>
      <c r="K8" s="39"/>
    </row>
    <row r="9" spans="1:11" ht="16" x14ac:dyDescent="0.2">
      <c r="A9" s="55">
        <v>45681</v>
      </c>
      <c r="B9" s="146" t="s">
        <v>345</v>
      </c>
      <c r="C9" s="54" t="s">
        <v>346</v>
      </c>
      <c r="D9" s="53">
        <v>0.25</v>
      </c>
      <c r="E9" s="53" t="s">
        <v>240</v>
      </c>
      <c r="F9" s="53" t="s">
        <v>240</v>
      </c>
      <c r="G9" s="55"/>
      <c r="I9" s="37"/>
      <c r="J9" s="37"/>
      <c r="K9" s="39"/>
    </row>
    <row r="10" spans="1:11" ht="32" x14ac:dyDescent="0.2">
      <c r="A10" s="55">
        <v>45681</v>
      </c>
      <c r="B10" s="146" t="s">
        <v>349</v>
      </c>
      <c r="C10" s="54" t="s">
        <v>350</v>
      </c>
      <c r="D10" s="53">
        <v>1</v>
      </c>
      <c r="E10" s="53" t="s">
        <v>240</v>
      </c>
      <c r="F10" s="37" t="s">
        <v>347</v>
      </c>
      <c r="G10" s="55">
        <v>45678</v>
      </c>
      <c r="I10" s="37"/>
      <c r="J10" s="40"/>
      <c r="K10" s="39"/>
    </row>
    <row r="11" spans="1:11" ht="32" x14ac:dyDescent="0.2">
      <c r="A11" s="55">
        <v>45762</v>
      </c>
      <c r="B11" s="53">
        <v>1.5</v>
      </c>
      <c r="C11" s="54" t="s">
        <v>398</v>
      </c>
      <c r="D11" s="53">
        <v>12</v>
      </c>
      <c r="E11" s="53" t="s">
        <v>399</v>
      </c>
      <c r="F11" s="53" t="s">
        <v>400</v>
      </c>
      <c r="G11" s="55">
        <v>45702</v>
      </c>
      <c r="I11" s="37"/>
      <c r="J11" s="40"/>
      <c r="K11" s="39"/>
    </row>
    <row r="12" spans="1:11" ht="48" x14ac:dyDescent="0.2">
      <c r="A12" s="55">
        <v>45798</v>
      </c>
      <c r="B12" s="53">
        <v>1.6</v>
      </c>
      <c r="C12" s="54" t="s">
        <v>418</v>
      </c>
      <c r="D12" s="53">
        <v>6</v>
      </c>
      <c r="E12" s="53" t="s">
        <v>399</v>
      </c>
      <c r="F12" s="53" t="s">
        <v>417</v>
      </c>
      <c r="G12" s="55">
        <v>45702</v>
      </c>
      <c r="I12" s="37"/>
      <c r="J12" s="40"/>
      <c r="K12" s="39"/>
    </row>
    <row r="13" spans="1:11" ht="48" x14ac:dyDescent="0.2">
      <c r="A13" s="55">
        <v>45827</v>
      </c>
      <c r="B13" s="146" t="s">
        <v>433</v>
      </c>
      <c r="C13" s="54" t="s">
        <v>432</v>
      </c>
      <c r="D13" s="53">
        <v>5</v>
      </c>
      <c r="E13" s="53" t="s">
        <v>399</v>
      </c>
      <c r="F13" s="53" t="s">
        <v>417</v>
      </c>
      <c r="G13" s="55">
        <v>45702</v>
      </c>
      <c r="I13" s="37"/>
      <c r="J13" s="37"/>
      <c r="K13" s="38"/>
    </row>
    <row r="14" spans="1:11" ht="16" x14ac:dyDescent="0.2">
      <c r="A14" s="55">
        <v>45831</v>
      </c>
      <c r="B14" s="53">
        <v>1.7</v>
      </c>
      <c r="C14" s="54" t="s">
        <v>434</v>
      </c>
      <c r="D14" s="53">
        <v>1.5</v>
      </c>
      <c r="E14" s="53" t="s">
        <v>399</v>
      </c>
      <c r="F14" s="53" t="s">
        <v>240</v>
      </c>
      <c r="G14" s="55">
        <v>45813</v>
      </c>
      <c r="I14" s="37"/>
      <c r="J14" s="37"/>
      <c r="K14" s="38"/>
    </row>
    <row r="15" spans="1:11" ht="32" x14ac:dyDescent="0.2">
      <c r="A15" s="55">
        <v>45895</v>
      </c>
      <c r="B15" s="146" t="s">
        <v>468</v>
      </c>
      <c r="C15" s="54" t="s">
        <v>469</v>
      </c>
      <c r="D15" s="53">
        <v>0.5</v>
      </c>
      <c r="E15" s="53" t="s">
        <v>240</v>
      </c>
      <c r="F15" s="53"/>
      <c r="G15" s="55"/>
      <c r="I15" s="37"/>
      <c r="J15" s="37"/>
      <c r="K15" s="38"/>
    </row>
    <row r="16" spans="1:11" ht="144" x14ac:dyDescent="0.2">
      <c r="A16" s="55">
        <v>45895</v>
      </c>
      <c r="B16" s="146" t="s">
        <v>470</v>
      </c>
      <c r="C16" s="54" t="s">
        <v>471</v>
      </c>
      <c r="D16" s="53">
        <v>1</v>
      </c>
      <c r="E16" s="53" t="s">
        <v>240</v>
      </c>
      <c r="F16" s="53"/>
      <c r="G16" s="55"/>
      <c r="I16" s="37"/>
      <c r="J16" s="37"/>
      <c r="K16" s="38"/>
    </row>
    <row r="17" spans="1:7" ht="16" x14ac:dyDescent="0.2">
      <c r="A17" s="55">
        <v>45993</v>
      </c>
      <c r="B17" s="146" t="s">
        <v>472</v>
      </c>
      <c r="C17" s="54" t="s">
        <v>473</v>
      </c>
      <c r="D17" s="53">
        <v>0.5</v>
      </c>
      <c r="E17" s="53" t="s">
        <v>399</v>
      </c>
      <c r="F17" s="53" t="s">
        <v>240</v>
      </c>
      <c r="G17" s="55">
        <v>45980</v>
      </c>
    </row>
    <row r="18" spans="1:7" x14ac:dyDescent="0.2">
      <c r="A18" s="55"/>
      <c r="B18" s="146"/>
      <c r="C18" s="54"/>
      <c r="D18" s="53"/>
      <c r="E18" s="53"/>
      <c r="F18" s="53"/>
      <c r="G18" s="55"/>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3"/>
  <sheetViews>
    <sheetView topLeftCell="A3" zoomScale="150" zoomScaleNormal="150" workbookViewId="0">
      <selection activeCell="G14" sqref="G14"/>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405" t="str">
        <f>'ReadMe-Directions'!A1</f>
        <v>Immersive Model for Lake Mead based on the Principle of Divide Reservoir Inflow</v>
      </c>
      <c r="B1" s="405"/>
      <c r="C1" s="405"/>
      <c r="D1" s="405"/>
      <c r="E1" s="405"/>
      <c r="F1" s="405"/>
      <c r="G1" s="405"/>
    </row>
    <row r="2" spans="1:14" x14ac:dyDescent="0.2">
      <c r="A2" s="1" t="s">
        <v>178</v>
      </c>
      <c r="B2" s="1"/>
    </row>
    <row r="3" spans="1:14" ht="32.25" customHeight="1" x14ac:dyDescent="0.2">
      <c r="A3" s="413" t="s">
        <v>190</v>
      </c>
      <c r="B3" s="413"/>
      <c r="C3" s="413"/>
      <c r="D3" s="413"/>
      <c r="E3" s="413"/>
      <c r="F3" s="413"/>
      <c r="G3" s="413"/>
      <c r="H3" s="82"/>
      <c r="I3" s="82"/>
      <c r="J3" s="82"/>
      <c r="K3" s="82"/>
      <c r="N3" s="134" t="s">
        <v>156</v>
      </c>
    </row>
    <row r="4" spans="1:14" x14ac:dyDescent="0.2">
      <c r="A4" s="124" t="s">
        <v>258</v>
      </c>
      <c r="B4" s="124" t="s">
        <v>19</v>
      </c>
      <c r="C4" s="414" t="s">
        <v>259</v>
      </c>
      <c r="D4" s="415"/>
      <c r="E4" s="415"/>
      <c r="F4" s="415"/>
      <c r="G4" s="416"/>
      <c r="N4" s="138" t="s">
        <v>329</v>
      </c>
    </row>
    <row r="5" spans="1:14" x14ac:dyDescent="0.2">
      <c r="A5" s="88" t="s">
        <v>238</v>
      </c>
      <c r="B5" s="111"/>
      <c r="C5" s="417"/>
      <c r="D5" s="412"/>
      <c r="E5" s="412"/>
      <c r="F5" s="412"/>
      <c r="G5" s="412"/>
      <c r="N5" s="138"/>
    </row>
    <row r="6" spans="1:14" x14ac:dyDescent="0.2">
      <c r="A6" s="88" t="s">
        <v>202</v>
      </c>
      <c r="B6" s="111"/>
      <c r="C6" s="417"/>
      <c r="D6" s="412"/>
      <c r="E6" s="412"/>
      <c r="F6" s="412"/>
      <c r="G6" s="412"/>
      <c r="N6" s="139"/>
    </row>
    <row r="7" spans="1:14" x14ac:dyDescent="0.2">
      <c r="A7" s="88" t="s">
        <v>203</v>
      </c>
      <c r="B7" s="111"/>
      <c r="C7" s="417"/>
      <c r="D7" s="412"/>
      <c r="E7" s="412"/>
      <c r="F7" s="412"/>
      <c r="G7" s="412"/>
      <c r="N7" s="139"/>
    </row>
    <row r="8" spans="1:14" x14ac:dyDescent="0.2">
      <c r="A8" s="111" t="s">
        <v>204</v>
      </c>
      <c r="B8" s="88"/>
      <c r="C8" s="412"/>
      <c r="D8" s="412"/>
      <c r="E8" s="412"/>
      <c r="F8" s="412"/>
      <c r="G8" s="412"/>
      <c r="N8" s="139"/>
    </row>
    <row r="9" spans="1:14" x14ac:dyDescent="0.2">
      <c r="A9" s="111" t="s">
        <v>18</v>
      </c>
      <c r="B9" s="88"/>
      <c r="C9" s="418"/>
      <c r="D9" s="418"/>
      <c r="E9" s="418"/>
      <c r="F9" s="418"/>
      <c r="G9" s="418"/>
      <c r="N9" s="139"/>
    </row>
    <row r="10" spans="1:14" x14ac:dyDescent="0.2">
      <c r="A10" s="88" t="s">
        <v>277</v>
      </c>
      <c r="B10" s="88"/>
      <c r="C10" s="412"/>
      <c r="D10" s="412"/>
      <c r="E10" s="412"/>
      <c r="F10" s="412"/>
      <c r="G10" s="412"/>
      <c r="N10" s="139"/>
    </row>
    <row r="11" spans="1:14" x14ac:dyDescent="0.2">
      <c r="A11" s="13"/>
      <c r="B11" s="2"/>
      <c r="C11"/>
      <c r="N11" s="139"/>
    </row>
    <row r="12" spans="1:14" x14ac:dyDescent="0.2">
      <c r="A12" s="15" t="s">
        <v>110</v>
      </c>
      <c r="B12" s="419" t="s">
        <v>112</v>
      </c>
      <c r="C12" s="420"/>
      <c r="D12" s="421"/>
      <c r="N12" s="138" t="s">
        <v>129</v>
      </c>
    </row>
    <row r="13" spans="1:14" x14ac:dyDescent="0.2">
      <c r="B13" s="422" t="s">
        <v>189</v>
      </c>
      <c r="C13" s="423"/>
      <c r="D13" s="424"/>
    </row>
    <row r="14" spans="1:14" x14ac:dyDescent="0.2">
      <c r="B14" s="406" t="s">
        <v>184</v>
      </c>
      <c r="C14" s="407"/>
      <c r="D14" s="408"/>
      <c r="N14" s="139"/>
    </row>
    <row r="15" spans="1:14" x14ac:dyDescent="0.2">
      <c r="B15" s="409" t="s">
        <v>21</v>
      </c>
      <c r="C15" s="410"/>
      <c r="D15" s="411"/>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348</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287</v>
      </c>
    </row>
    <row r="22" spans="1:14" x14ac:dyDescent="0.2">
      <c r="A22" t="s">
        <v>257</v>
      </c>
      <c r="C22" s="340">
        <v>3.5339999999999998</v>
      </c>
      <c r="D22" s="341" t="s">
        <v>210</v>
      </c>
      <c r="E22" s="27"/>
      <c r="F22" s="27"/>
      <c r="N22" s="138" t="s">
        <v>286</v>
      </c>
    </row>
    <row r="23" spans="1:14" x14ac:dyDescent="0.2">
      <c r="A23" t="s">
        <v>276</v>
      </c>
      <c r="C23" s="12">
        <f>C21-C22</f>
        <v>2.4471220000000002</v>
      </c>
      <c r="D23" s="109"/>
      <c r="E23" s="27"/>
      <c r="N23" s="138" t="s">
        <v>288</v>
      </c>
    </row>
    <row r="24" spans="1:14" x14ac:dyDescent="0.2">
      <c r="A24" t="s">
        <v>304</v>
      </c>
      <c r="B24" s="92">
        <f>TribalWater!H7</f>
        <v>0.16438105840220965</v>
      </c>
      <c r="C24"/>
      <c r="D24" s="109"/>
      <c r="E24" s="27"/>
      <c r="N24" s="138" t="s">
        <v>330</v>
      </c>
    </row>
    <row r="25" spans="1:14" x14ac:dyDescent="0.2">
      <c r="A25" t="s">
        <v>303</v>
      </c>
      <c r="B25" s="217">
        <f>1-B24</f>
        <v>0.83561894159779038</v>
      </c>
      <c r="C25"/>
      <c r="D25" s="109"/>
      <c r="E25" s="27"/>
      <c r="N25" s="138" t="s">
        <v>331</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290</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IF(C$28&lt;&gt;"",IF(COLUMN(C28)=COLUMN($C28),$C$19,B149),"")</f>
        <v/>
      </c>
      <c r="D33" s="12" t="str">
        <f>IF(D$28&lt;&gt;"",IF(COLUMN(D28)=COLUMN($C28),$C$19,C149),"")</f>
        <v/>
      </c>
      <c r="E33" s="12" t="str">
        <f>IF(E$28&lt;&gt;"",IF(COLUMN(E28)=COLUMN($C28),$C$19,D149),"")</f>
        <v/>
      </c>
      <c r="F33" s="12" t="str">
        <f>IF(F$28&lt;&gt;"",IF(COLUMN(F28)=COLUMN($C28),$C$19,E149),"")</f>
        <v/>
      </c>
      <c r="G33" s="12" t="str">
        <f>IF(G$28&lt;&gt;"",IF(COLUMN(G28)=COLUMN($C28),$C$19,F149),"")</f>
        <v/>
      </c>
      <c r="H33" s="94"/>
      <c r="I33" s="94"/>
      <c r="J33" s="94"/>
      <c r="K33" s="94"/>
      <c r="L33" s="94"/>
      <c r="N33" s="138"/>
    </row>
    <row r="34" spans="1:14" x14ac:dyDescent="0.2">
      <c r="A34" s="1" t="s">
        <v>249</v>
      </c>
      <c r="B34" s="1"/>
      <c r="C34" s="203" t="str">
        <f>IF(C$28&lt;&gt;"",IF(COLUMN(C29)=COLUMN($C29),$B$19,B150),"")</f>
        <v/>
      </c>
      <c r="D34" s="203" t="str">
        <f t="shared" ref="D34:G34" si="3">IF(D$28&lt;&gt;"",IF(COLUMN(D29)=COLUMN($C29),$B$19,C150),"")</f>
        <v/>
      </c>
      <c r="E34" s="203" t="str">
        <f t="shared" si="3"/>
        <v/>
      </c>
      <c r="F34" s="203" t="str">
        <f t="shared" si="3"/>
        <v/>
      </c>
      <c r="G34" s="203" t="str">
        <f t="shared" si="3"/>
        <v/>
      </c>
      <c r="H34" s="94"/>
      <c r="I34" s="94"/>
      <c r="J34" s="94"/>
      <c r="K34" s="94"/>
      <c r="L34" s="94"/>
      <c r="N34" s="138"/>
    </row>
    <row r="35" spans="1:14" x14ac:dyDescent="0.2">
      <c r="A35" s="122" t="s">
        <v>246</v>
      </c>
      <c r="C35"/>
      <c r="H35" s="12" t="str">
        <f>IF(H$28&lt;&gt;"",G149,"")</f>
        <v/>
      </c>
      <c r="I35" s="12" t="str">
        <f t="shared" ref="I35:L35" si="4">IF(I$28&lt;&gt;"",H148,"")</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IF(OR(D$28="",$A36=""),"",C142)</f>
        <v/>
      </c>
      <c r="E36" s="12" t="str">
        <f t="shared" ref="E36:L36" si="7">IF(OR(E$28="",$A36=""),"",D142)</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IF(OR(E$28="",$A37=""),"",D143)</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350"/>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350"/>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8" t="s">
        <v>146</v>
      </c>
    </row>
    <row r="64" spans="1:16" ht="15.75" customHeight="1" x14ac:dyDescent="0.2">
      <c r="A64" s="345" t="s">
        <v>479</v>
      </c>
      <c r="C64" s="346" t="str">
        <f>IF(C$28&lt;&gt;"",B20,"")</f>
        <v/>
      </c>
      <c r="D64" s="346" t="str">
        <f>IF(D$28&lt;&gt;"",C72,"")</f>
        <v/>
      </c>
      <c r="E64" s="346" t="str">
        <f t="shared" ref="E64:G64" si="46">IF(E$28&lt;&gt;"",D72,"")</f>
        <v/>
      </c>
      <c r="F64" s="346" t="str">
        <f t="shared" si="46"/>
        <v/>
      </c>
      <c r="G64" s="346" t="str">
        <f t="shared" si="46"/>
        <v/>
      </c>
      <c r="H64" s="346"/>
      <c r="I64" s="346"/>
      <c r="J64" s="346"/>
      <c r="K64" s="346"/>
      <c r="L64" s="346"/>
      <c r="N64" s="347"/>
    </row>
    <row r="65" spans="1:14" x14ac:dyDescent="0.2">
      <c r="A65" t="s">
        <v>474</v>
      </c>
      <c r="C65" s="12" t="str">
        <f>IF(OR(C$28="",$A70=""),"",C36+C53-C46)</f>
        <v/>
      </c>
      <c r="D65" s="12" t="str">
        <f t="shared" ref="D65:G65" si="47">IF(OR(D$28="",$A70=""),"",D36+D53-D46)</f>
        <v/>
      </c>
      <c r="E65" s="12" t="str">
        <f t="shared" si="47"/>
        <v/>
      </c>
      <c r="F65" s="12" t="str">
        <f t="shared" si="47"/>
        <v/>
      </c>
      <c r="G65" s="12" t="str">
        <f t="shared" si="47"/>
        <v/>
      </c>
      <c r="H65" s="12" t="str">
        <f t="shared" ref="H65:L65" si="48">IF(OR(H$28="",$A65=""),"",H22+H40-H32+H60)</f>
        <v/>
      </c>
      <c r="I65" s="12" t="str">
        <f t="shared" si="48"/>
        <v/>
      </c>
      <c r="J65" s="12" t="str">
        <f t="shared" si="48"/>
        <v/>
      </c>
      <c r="K65" s="12" t="str">
        <f t="shared" si="48"/>
        <v/>
      </c>
      <c r="L65" s="12" t="str">
        <f t="shared" si="48"/>
        <v/>
      </c>
      <c r="N65" s="136"/>
    </row>
    <row r="66" spans="1:14" x14ac:dyDescent="0.2">
      <c r="A66" s="123" t="str">
        <f>IF(A63="[Unused]","","   Enter volume to Buy(+) or Sell(-) [maf]")</f>
        <v xml:space="preserve">   Enter volume to Buy(+) or Sell(-) [maf]</v>
      </c>
      <c r="C66" s="89"/>
      <c r="D66" s="89"/>
      <c r="E66" s="89"/>
      <c r="F66" s="89"/>
      <c r="G66" s="89"/>
      <c r="H66" s="89"/>
      <c r="I66" s="89"/>
      <c r="J66" s="89"/>
      <c r="K66" s="89"/>
      <c r="L66" s="89"/>
      <c r="M66" s="328">
        <f>SUM(C66:G66)</f>
        <v>0</v>
      </c>
      <c r="N66" s="141" t="s">
        <v>147</v>
      </c>
    </row>
    <row r="67" spans="1:14" x14ac:dyDescent="0.2">
      <c r="A67" s="123" t="str">
        <f>IF(A66="","","   Enter price per acre-foot to Buy(-) or Sell(+)")</f>
        <v xml:space="preserve">   Enter price per acre-foot to Buy(-) or Sell(+)</v>
      </c>
      <c r="C67" s="90"/>
      <c r="D67" s="90"/>
      <c r="E67" s="90"/>
      <c r="F67" s="90"/>
      <c r="G67" s="90"/>
      <c r="H67" s="90"/>
      <c r="I67" s="90"/>
      <c r="J67" s="90"/>
      <c r="K67" s="90"/>
      <c r="L67" s="325"/>
      <c r="M67" s="326"/>
      <c r="N67" s="338" t="s">
        <v>467</v>
      </c>
    </row>
    <row r="68" spans="1:14" x14ac:dyDescent="0.2">
      <c r="A68" t="s">
        <v>464</v>
      </c>
      <c r="C68" s="324" t="str">
        <f>IF(OR(C66="",C67=""),"",IF(C67&gt;0,ABS(C66*C67),C66*C67)
)</f>
        <v/>
      </c>
      <c r="D68" s="324" t="str">
        <f>IF(OR(D66="",D67=""),"",IF(D67&gt;0,ABS(D66*D67),D66*D67)
)</f>
        <v/>
      </c>
      <c r="E68" s="324" t="str">
        <f t="shared" ref="E68:G68" si="49">IF(OR(E66="",E67=""),"",IF(E67&gt;0,ABS(E66*E67),E66*E67)
)</f>
        <v/>
      </c>
      <c r="F68" s="324" t="str">
        <f t="shared" si="49"/>
        <v/>
      </c>
      <c r="G68" s="324" t="str">
        <f t="shared" si="49"/>
        <v/>
      </c>
      <c r="H68" s="324"/>
      <c r="I68" s="324"/>
      <c r="J68" s="324"/>
      <c r="K68" s="324"/>
      <c r="L68" s="324"/>
      <c r="M68" s="327">
        <f>SUM(C68:G68)</f>
        <v>0</v>
      </c>
      <c r="N68" s="142" t="s">
        <v>148</v>
      </c>
    </row>
    <row r="69" spans="1:14" x14ac:dyDescent="0.2">
      <c r="A69" t="str">
        <f>IF(A67="","","   Net trade volume all participants (should be zero)")</f>
        <v xml:space="preserve">   Net trade volume all participants (should be zero)</v>
      </c>
      <c r="C69" s="42" t="str">
        <f t="shared" ref="C69:M69" si="50">IF(OR(C$28="",$A69=""),"",C$133)</f>
        <v/>
      </c>
      <c r="D69" s="42" t="str">
        <f>IF(OR(D$28="",$A69=""),"",D$133)</f>
        <v/>
      </c>
      <c r="E69" s="42" t="str">
        <f t="shared" si="50"/>
        <v/>
      </c>
      <c r="F69" s="42" t="str">
        <f t="shared" si="50"/>
        <v/>
      </c>
      <c r="G69" s="42" t="str">
        <f t="shared" si="50"/>
        <v/>
      </c>
      <c r="H69" s="42" t="str">
        <f t="shared" si="50"/>
        <v/>
      </c>
      <c r="I69" s="42" t="str">
        <f t="shared" si="50"/>
        <v/>
      </c>
      <c r="J69" s="42" t="str">
        <f t="shared" si="50"/>
        <v/>
      </c>
      <c r="K69" s="42" t="str">
        <f t="shared" si="50"/>
        <v/>
      </c>
      <c r="L69" s="42" t="str">
        <f t="shared" si="50"/>
        <v/>
      </c>
      <c r="M69" t="str">
        <f t="shared" si="50"/>
        <v/>
      </c>
      <c r="N69" s="138" t="s">
        <v>149</v>
      </c>
    </row>
    <row r="70" spans="1:14" x14ac:dyDescent="0.2">
      <c r="A70" s="1" t="str">
        <f>IF(A67="","","   Available Water [maf]")</f>
        <v xml:space="preserve">   Available Water [maf]</v>
      </c>
      <c r="C70" s="12" t="str">
        <f>IF(OR(C$28="",$A70=""),"",C36+C53-C46+C66)</f>
        <v/>
      </c>
      <c r="D70" s="12" t="str">
        <f>IF(OR(D$28="",$A70=""),"",D36+D53-D46+D66)</f>
        <v/>
      </c>
      <c r="E70" s="12" t="str">
        <f t="shared" ref="E70:G70" si="51">IF(OR(E$28="",$A70=""),"",E36+E53-E46+E66)</f>
        <v/>
      </c>
      <c r="F70" s="12" t="str">
        <f t="shared" si="51"/>
        <v/>
      </c>
      <c r="G70" s="12" t="str">
        <f t="shared" si="51"/>
        <v/>
      </c>
      <c r="H70" s="12" t="str">
        <f t="shared" ref="H70:L70" si="52">IF(OR(H$28="",$A70=""),"",H36+H54-H46+H66)</f>
        <v/>
      </c>
      <c r="I70" s="12" t="str">
        <f t="shared" si="52"/>
        <v/>
      </c>
      <c r="J70" s="12" t="str">
        <f t="shared" si="52"/>
        <v/>
      </c>
      <c r="K70" s="12" t="str">
        <f t="shared" si="52"/>
        <v/>
      </c>
      <c r="L70" s="12" t="str">
        <f t="shared" si="52"/>
        <v/>
      </c>
      <c r="N70" s="138" t="s">
        <v>150</v>
      </c>
    </row>
    <row r="71" spans="1:14" ht="15.75" customHeight="1" x14ac:dyDescent="0.2">
      <c r="A71" s="348" t="s">
        <v>480</v>
      </c>
      <c r="C71" s="346" t="str">
        <f>IF(C$28&lt;&gt;"",VLOOKUP(C70*1000000,'Mead-Elevation-Area'!$B$5:$H$689,7),"")</f>
        <v/>
      </c>
      <c r="D71" s="346" t="str">
        <f>IF(D$28&lt;&gt;"",VLOOKUP(D70*1000000,'Mead-Elevation-Area'!$B$5:$H$689,7),"")</f>
        <v/>
      </c>
      <c r="E71" s="346" t="str">
        <f>IF(E$28&lt;&gt;"",VLOOKUP(E70*1000000,'Mead-Elevation-Area'!$B$5:$H$689,7),"")</f>
        <v/>
      </c>
      <c r="F71" s="346" t="str">
        <f>IF(F$28&lt;&gt;"",VLOOKUP(F70*1000000,'Mead-Elevation-Area'!$B$5:$H$689,7),"")</f>
        <v/>
      </c>
      <c r="G71" s="346" t="str">
        <f>IF(G$28&lt;&gt;"",VLOOKUP(G70*1000000,'Mead-Elevation-Area'!$B$5:$H$689,7),"")</f>
        <v/>
      </c>
      <c r="H71" s="346"/>
      <c r="I71" s="346"/>
      <c r="J71" s="346"/>
      <c r="K71" s="346"/>
      <c r="L71" s="346"/>
      <c r="N71" s="349"/>
    </row>
    <row r="72" spans="1:14" x14ac:dyDescent="0.2">
      <c r="A72" s="122" t="str">
        <f>IF(A70="","","   Enter withdraw [maf] within available water")</f>
        <v xml:space="preserve">   Enter withdraw [maf] within available water</v>
      </c>
      <c r="C72" s="91"/>
      <c r="D72" s="91"/>
      <c r="E72" s="91"/>
      <c r="F72" s="91"/>
      <c r="G72" s="91"/>
      <c r="H72" s="91"/>
      <c r="I72" s="91"/>
      <c r="J72" s="91"/>
      <c r="K72" s="91"/>
      <c r="L72" s="91"/>
      <c r="N72" s="138" t="s">
        <v>155</v>
      </c>
    </row>
    <row r="73" spans="1:14" x14ac:dyDescent="0.2">
      <c r="A73" t="str">
        <f>IF(A72="","","   End of Year Balance [maf]")</f>
        <v xml:space="preserve">   End of Year Balance [maf]</v>
      </c>
      <c r="C73" s="12" t="str">
        <f>IF(OR(C$28="",$A73=""),"",C70-C72)</f>
        <v/>
      </c>
      <c r="D73" s="12" t="str">
        <f t="shared" ref="D73:L73" si="53">IF(OR(D$28="",$A73=""),"",D70-D72)</f>
        <v/>
      </c>
      <c r="E73" s="12" t="str">
        <f t="shared" si="53"/>
        <v/>
      </c>
      <c r="F73" s="12" t="str">
        <f t="shared" ref="F73:G73" si="54">IF(OR(F$28="",$A73=""),"",F70-F72)</f>
        <v/>
      </c>
      <c r="G73" s="12" t="str">
        <f t="shared" si="54"/>
        <v/>
      </c>
      <c r="H73" s="12" t="str">
        <f t="shared" si="53"/>
        <v/>
      </c>
      <c r="I73" s="12" t="str">
        <f t="shared" si="53"/>
        <v/>
      </c>
      <c r="J73" s="12" t="str">
        <f t="shared" si="53"/>
        <v/>
      </c>
      <c r="K73" s="12" t="str">
        <f t="shared" si="53"/>
        <v/>
      </c>
      <c r="L73" s="12" t="str">
        <f t="shared" si="53"/>
        <v/>
      </c>
      <c r="N73" s="138" t="s">
        <v>151</v>
      </c>
    </row>
    <row r="74" spans="1:14" x14ac:dyDescent="0.2">
      <c r="C74"/>
      <c r="N74" s="139"/>
    </row>
    <row r="75" spans="1:14" x14ac:dyDescent="0.2">
      <c r="A75" s="116" t="str">
        <f>IF(A$6="","[Unused]",A6&amp;" ("&amp;B6&amp;")")</f>
        <v>California ()</v>
      </c>
      <c r="B75" s="97"/>
      <c r="C75" s="97"/>
      <c r="D75" s="97"/>
      <c r="E75" s="97"/>
      <c r="F75" s="97"/>
      <c r="G75" s="97"/>
      <c r="H75" s="97"/>
      <c r="I75" s="97"/>
      <c r="J75" s="97"/>
      <c r="K75" s="97"/>
      <c r="L75" s="97"/>
      <c r="M75" s="98" t="s">
        <v>25</v>
      </c>
      <c r="N75" s="136" t="s">
        <v>146</v>
      </c>
    </row>
    <row r="76" spans="1:14" x14ac:dyDescent="0.2">
      <c r="A76" t="s">
        <v>474</v>
      </c>
      <c r="C76" s="12" t="str">
        <f>IF(OR(C$28="",$A81=""),"",C37+C55-C47)</f>
        <v/>
      </c>
      <c r="D76" s="12" t="str">
        <f t="shared" ref="D76:G76" si="55">IF(OR(D$28="",$A81=""),"",D37+D55-D47)</f>
        <v/>
      </c>
      <c r="E76" s="12" t="str">
        <f t="shared" si="55"/>
        <v/>
      </c>
      <c r="F76" s="12" t="str">
        <f t="shared" si="55"/>
        <v/>
      </c>
      <c r="G76" s="12" t="str">
        <f t="shared" si="55"/>
        <v/>
      </c>
      <c r="H76" s="12" t="str">
        <f t="shared" ref="H76:L76" si="56">IF(OR(H$28="",$A76=""),"",H32+H50-H42+H72)</f>
        <v/>
      </c>
      <c r="I76" s="12" t="str">
        <f t="shared" si="56"/>
        <v/>
      </c>
      <c r="J76" s="12" t="str">
        <f t="shared" si="56"/>
        <v/>
      </c>
      <c r="K76" s="12" t="str">
        <f t="shared" si="56"/>
        <v/>
      </c>
      <c r="L76" s="12" t="str">
        <f t="shared" si="56"/>
        <v/>
      </c>
      <c r="N76" s="136"/>
    </row>
    <row r="77" spans="1:14" x14ac:dyDescent="0.2">
      <c r="A77" s="123" t="str">
        <f>IF(A75="[Unused]","",$A$66)</f>
        <v xml:space="preserve">   Enter volume to Buy(+) or Sell(-) [maf]</v>
      </c>
      <c r="C77" s="89"/>
      <c r="D77" s="89"/>
      <c r="E77" s="89"/>
      <c r="F77" s="89"/>
      <c r="G77" s="89"/>
      <c r="H77" s="89"/>
      <c r="I77" s="89"/>
      <c r="J77" s="89"/>
      <c r="K77" s="89"/>
      <c r="L77" s="89"/>
      <c r="M77" s="329">
        <f>SUM(C77:L77)</f>
        <v>0</v>
      </c>
      <c r="N77" s="141" t="s">
        <v>147</v>
      </c>
    </row>
    <row r="78" spans="1:14" x14ac:dyDescent="0.2">
      <c r="A78" s="123" t="str">
        <f>IF(A77="","","   Enter price per acre-foot to Buy(-) or Sell(+)")</f>
        <v xml:space="preserve">   Enter price per acre-foot to Buy(-) or Sell(+)</v>
      </c>
      <c r="C78" s="90"/>
      <c r="D78" s="90"/>
      <c r="E78" s="90"/>
      <c r="F78" s="90"/>
      <c r="G78" s="90"/>
      <c r="H78" s="90"/>
      <c r="I78" s="90"/>
      <c r="J78" s="90"/>
      <c r="K78" s="90"/>
      <c r="L78" s="325"/>
      <c r="M78" s="326"/>
      <c r="N78" s="338" t="s">
        <v>467</v>
      </c>
    </row>
    <row r="79" spans="1:14" x14ac:dyDescent="0.2">
      <c r="A79" t="s">
        <v>464</v>
      </c>
      <c r="C79" s="324" t="str">
        <f>IF(OR(C77="",C78=""),"",IF(C78&gt;0,ABS(C77*C78),C77*C78)
)</f>
        <v/>
      </c>
      <c r="D79" s="324" t="str">
        <f t="shared" ref="D79:G79" si="57">IF(OR(D77="",D78=""),"",IF(D78&gt;0,ABS(D77*D78),D77*D78)
)</f>
        <v/>
      </c>
      <c r="E79" s="324" t="str">
        <f t="shared" si="57"/>
        <v/>
      </c>
      <c r="F79" s="324" t="str">
        <f t="shared" si="57"/>
        <v/>
      </c>
      <c r="G79" s="324" t="str">
        <f t="shared" si="57"/>
        <v/>
      </c>
      <c r="H79" s="90"/>
      <c r="I79" s="90"/>
      <c r="J79" s="90"/>
      <c r="K79" s="90"/>
      <c r="L79" s="90"/>
      <c r="M79" s="330">
        <f>SUM(C79:L79)</f>
        <v>0</v>
      </c>
      <c r="N79" s="142" t="s">
        <v>148</v>
      </c>
    </row>
    <row r="80" spans="1:14" x14ac:dyDescent="0.2">
      <c r="A80" s="128" t="str">
        <f>IF(A78="","",$A$69)</f>
        <v xml:space="preserve">   Net trade volume all participants (should be zero)</v>
      </c>
      <c r="C80" s="42" t="str">
        <f t="shared" ref="C80:M80" si="58">IF(OR(C$28="",$A80=""),"",C$133)</f>
        <v/>
      </c>
      <c r="D80" s="42" t="str">
        <f>IF(OR(D$28="",$A80=""),"",D$133)</f>
        <v/>
      </c>
      <c r="E80" s="42" t="str">
        <f t="shared" si="58"/>
        <v/>
      </c>
      <c r="F80" s="42" t="str">
        <f t="shared" si="58"/>
        <v/>
      </c>
      <c r="G80" s="42" t="str">
        <f t="shared" si="58"/>
        <v/>
      </c>
      <c r="H80" s="42" t="str">
        <f t="shared" si="58"/>
        <v/>
      </c>
      <c r="I80" s="42" t="str">
        <f t="shared" si="58"/>
        <v/>
      </c>
      <c r="J80" s="42" t="str">
        <f t="shared" si="58"/>
        <v/>
      </c>
      <c r="K80" s="42" t="str">
        <f t="shared" si="58"/>
        <v/>
      </c>
      <c r="L80" s="42" t="str">
        <f t="shared" si="58"/>
        <v/>
      </c>
      <c r="M80" t="str">
        <f t="shared" si="58"/>
        <v/>
      </c>
      <c r="N80" s="138" t="s">
        <v>149</v>
      </c>
    </row>
    <row r="81" spans="1:14" x14ac:dyDescent="0.2">
      <c r="A81" s="1" t="str">
        <f>IF(A78="","","   Available Water [maf]")</f>
        <v xml:space="preserve">   Available Water [maf]</v>
      </c>
      <c r="C81" s="12" t="str">
        <f>IF(OR(C$28="",$A81=""),"",C37+C55-C47+C77)</f>
        <v/>
      </c>
      <c r="D81" s="12" t="str">
        <f>IF(OR(D$28="",$A81=""),"",D37+D55-D47+D77)</f>
        <v/>
      </c>
      <c r="E81" s="12" t="str">
        <f t="shared" ref="E81:G81" si="59">IF(OR(E$28="",$A81=""),"",E37+E55-E47+E77)</f>
        <v/>
      </c>
      <c r="F81" s="12" t="str">
        <f t="shared" si="59"/>
        <v/>
      </c>
      <c r="G81" s="12" t="str">
        <f t="shared" si="59"/>
        <v/>
      </c>
      <c r="H81" s="12" t="str">
        <f t="shared" ref="H81:L81" si="60">IF(OR(H$28="",$A81=""),"",H37+H55-H47+H77)</f>
        <v/>
      </c>
      <c r="I81" s="12" t="str">
        <f t="shared" si="60"/>
        <v/>
      </c>
      <c r="J81" s="12" t="str">
        <f t="shared" si="60"/>
        <v/>
      </c>
      <c r="K81" s="12" t="str">
        <f t="shared" si="60"/>
        <v/>
      </c>
      <c r="L81" s="12" t="str">
        <f t="shared" si="60"/>
        <v/>
      </c>
      <c r="N81" s="138" t="s">
        <v>150</v>
      </c>
    </row>
    <row r="82" spans="1:14" x14ac:dyDescent="0.2">
      <c r="A82" s="122" t="str">
        <f>IF(A81="","",$A$72)</f>
        <v xml:space="preserve">   Enter withdraw [maf] within available water</v>
      </c>
      <c r="C82" s="91"/>
      <c r="D82" s="91"/>
      <c r="E82" s="91"/>
      <c r="F82" s="91"/>
      <c r="G82" s="91"/>
      <c r="H82" s="91"/>
      <c r="I82" s="91"/>
      <c r="J82" s="91"/>
      <c r="K82" s="91"/>
      <c r="L82" s="91"/>
      <c r="N82" s="138" t="s">
        <v>155</v>
      </c>
    </row>
    <row r="83" spans="1:14" x14ac:dyDescent="0.2">
      <c r="A83" t="str">
        <f>IF(A82="","","   End of Year Balance [maf]")</f>
        <v xml:space="preserve">   End of Year Balance [maf]</v>
      </c>
      <c r="C83" s="12" t="str">
        <f>IF(OR(C$28="",$A83=""),"",C81-C82)</f>
        <v/>
      </c>
      <c r="D83" s="12" t="str">
        <f t="shared" ref="D83:L83" si="61">IF(OR(D$28="",$A83=""),"",D81-D82)</f>
        <v/>
      </c>
      <c r="E83" s="12" t="str">
        <f t="shared" si="61"/>
        <v/>
      </c>
      <c r="F83" s="12" t="str">
        <f t="shared" ref="F83:G83" si="62">IF(OR(F$28="",$A83=""),"",F81-F82)</f>
        <v/>
      </c>
      <c r="G83" s="12" t="str">
        <f t="shared" si="62"/>
        <v/>
      </c>
      <c r="H83" s="12" t="str">
        <f t="shared" si="61"/>
        <v/>
      </c>
      <c r="I83" s="12" t="str">
        <f t="shared" si="61"/>
        <v/>
      </c>
      <c r="J83" s="12" t="str">
        <f t="shared" si="61"/>
        <v/>
      </c>
      <c r="K83" s="12" t="str">
        <f t="shared" si="61"/>
        <v/>
      </c>
      <c r="L83" s="12" t="str">
        <f t="shared" si="61"/>
        <v/>
      </c>
      <c r="N83" s="138" t="s">
        <v>151</v>
      </c>
    </row>
    <row r="84" spans="1:14" x14ac:dyDescent="0.2">
      <c r="C84"/>
      <c r="N84" s="139"/>
    </row>
    <row r="85" spans="1:14" x14ac:dyDescent="0.2">
      <c r="A85" s="116" t="str">
        <f>IF(A$7="","[Unused]",A7&amp;" ("&amp;B7&amp;")")</f>
        <v>Arizona ()</v>
      </c>
      <c r="B85" s="97"/>
      <c r="C85" s="97"/>
      <c r="D85" s="97"/>
      <c r="E85" s="97"/>
      <c r="F85" s="97"/>
      <c r="G85" s="97"/>
      <c r="H85" s="97"/>
      <c r="I85" s="97"/>
      <c r="J85" s="97"/>
      <c r="K85" s="97"/>
      <c r="L85" s="97"/>
      <c r="M85" s="98" t="s">
        <v>25</v>
      </c>
      <c r="N85" s="136" t="s">
        <v>146</v>
      </c>
    </row>
    <row r="86" spans="1:14" x14ac:dyDescent="0.2">
      <c r="A86" t="s">
        <v>474</v>
      </c>
      <c r="C86" s="12" t="str">
        <f>IF(OR(C$28="",$A91=""),"",C38+C56-C48)</f>
        <v/>
      </c>
      <c r="D86" s="12" t="str">
        <f t="shared" ref="D86:G86" si="63">IF(OR(D$28="",$A91=""),"",D38+D56-D48)</f>
        <v/>
      </c>
      <c r="E86" s="12" t="str">
        <f t="shared" si="63"/>
        <v/>
      </c>
      <c r="F86" s="12" t="str">
        <f t="shared" si="63"/>
        <v/>
      </c>
      <c r="G86" s="12" t="str">
        <f t="shared" si="63"/>
        <v/>
      </c>
      <c r="H86" s="12" t="str">
        <f t="shared" ref="H86:L86" si="64">IF(OR(H$28="",$A86=""),"",H33+H51-H43+H82)</f>
        <v/>
      </c>
      <c r="I86" s="12" t="str">
        <f t="shared" si="64"/>
        <v/>
      </c>
      <c r="J86" s="12" t="str">
        <f t="shared" si="64"/>
        <v/>
      </c>
      <c r="K86" s="12" t="str">
        <f t="shared" si="64"/>
        <v/>
      </c>
      <c r="L86" s="12" t="str">
        <f t="shared" si="64"/>
        <v/>
      </c>
      <c r="N86" s="136"/>
    </row>
    <row r="87" spans="1:14" x14ac:dyDescent="0.2">
      <c r="A87" s="123" t="str">
        <f>IF(A85="[Unused]","",$A$66)</f>
        <v xml:space="preserve">   Enter volume to Buy(+) or Sell(-) [maf]</v>
      </c>
      <c r="C87" s="89"/>
      <c r="D87" s="89"/>
      <c r="E87" s="89"/>
      <c r="F87" s="89"/>
      <c r="G87" s="89"/>
      <c r="H87" s="89"/>
      <c r="I87" s="89"/>
      <c r="J87" s="89"/>
      <c r="K87" s="89"/>
      <c r="L87" s="89"/>
      <c r="M87" s="329">
        <f>SUM(C87:L87)</f>
        <v>0</v>
      </c>
      <c r="N87" s="141" t="s">
        <v>147</v>
      </c>
    </row>
    <row r="88" spans="1:14" x14ac:dyDescent="0.2">
      <c r="A88" s="123" t="str">
        <f>IF(A87="","","   Enter price per acre-foot to Buy(-) or Sell(+)")</f>
        <v xml:space="preserve">   Enter price per acre-foot to Buy(-) or Sell(+)</v>
      </c>
      <c r="C88" s="90"/>
      <c r="D88" s="90"/>
      <c r="E88" s="90"/>
      <c r="F88" s="90"/>
      <c r="G88" s="90"/>
      <c r="H88" s="90"/>
      <c r="I88" s="90"/>
      <c r="J88" s="90"/>
      <c r="K88" s="90"/>
      <c r="L88" s="325"/>
      <c r="M88" s="326"/>
      <c r="N88" s="338" t="s">
        <v>467</v>
      </c>
    </row>
    <row r="89" spans="1:14" x14ac:dyDescent="0.2">
      <c r="A89" t="s">
        <v>464</v>
      </c>
      <c r="C89" s="324" t="str">
        <f>IF(OR(C87="",C88=""),"",IF(C88&gt;0,ABS(C87*C88),C87*C88)
)</f>
        <v/>
      </c>
      <c r="D89" s="324" t="str">
        <f t="shared" ref="D89:G89" si="65">IF(OR(D87="",D88=""),"",IF(D88&gt;0,ABS(D87*D88),D87*D88)
)</f>
        <v/>
      </c>
      <c r="E89" s="324" t="str">
        <f t="shared" si="65"/>
        <v/>
      </c>
      <c r="F89" s="324" t="str">
        <f t="shared" si="65"/>
        <v/>
      </c>
      <c r="G89" s="324" t="str">
        <f t="shared" si="65"/>
        <v/>
      </c>
      <c r="H89" s="90"/>
      <c r="I89" s="90"/>
      <c r="J89" s="90"/>
      <c r="K89" s="90"/>
      <c r="L89" s="90"/>
      <c r="M89" s="330">
        <f>SUM(C89:L89)</f>
        <v>0</v>
      </c>
      <c r="N89" s="142" t="s">
        <v>148</v>
      </c>
    </row>
    <row r="90" spans="1:14" x14ac:dyDescent="0.2">
      <c r="A90" s="128" t="str">
        <f>IF(A88="","",$A$69)</f>
        <v xml:space="preserve">   Net trade volume all participants (should be zero)</v>
      </c>
      <c r="C90" s="42" t="str">
        <f t="shared" ref="C90:M90" si="66">IF(OR(C$28="",$A90=""),"",C$133)</f>
        <v/>
      </c>
      <c r="D90" s="42" t="str">
        <f>IF(OR(D$28="",$A90=""),"",D$133)</f>
        <v/>
      </c>
      <c r="E90" s="42" t="str">
        <f t="shared" si="66"/>
        <v/>
      </c>
      <c r="F90" s="42" t="str">
        <f t="shared" si="66"/>
        <v/>
      </c>
      <c r="G90" s="42" t="str">
        <f t="shared" si="66"/>
        <v/>
      </c>
      <c r="H90" s="42" t="str">
        <f t="shared" si="66"/>
        <v/>
      </c>
      <c r="I90" s="42" t="str">
        <f t="shared" si="66"/>
        <v/>
      </c>
      <c r="J90" s="42" t="str">
        <f t="shared" si="66"/>
        <v/>
      </c>
      <c r="K90" s="42" t="str">
        <f t="shared" si="66"/>
        <v/>
      </c>
      <c r="L90" s="42" t="str">
        <f t="shared" si="66"/>
        <v/>
      </c>
      <c r="M90" t="str">
        <f t="shared" si="66"/>
        <v/>
      </c>
      <c r="N90" s="138" t="s">
        <v>149</v>
      </c>
    </row>
    <row r="91" spans="1:14" x14ac:dyDescent="0.2">
      <c r="A91" s="1" t="str">
        <f>IF(A88="","","   Available Water [maf]")</f>
        <v xml:space="preserve">   Available Water [maf]</v>
      </c>
      <c r="C91" s="12" t="str">
        <f>IF(OR(C$28="",$A91=""),"",C38+C56-C48+C87)</f>
        <v/>
      </c>
      <c r="D91" s="12" t="str">
        <f t="shared" ref="D91:L91" si="67">IF(OR(D$28="",$A91=""),"",D38+D56-D48+D87)</f>
        <v/>
      </c>
      <c r="E91" s="12" t="str">
        <f t="shared" si="67"/>
        <v/>
      </c>
      <c r="F91" s="12" t="str">
        <f t="shared" ref="F91:G91" si="68">IF(OR(F$28="",$A91=""),"",F38+F56-F48+F87)</f>
        <v/>
      </c>
      <c r="G91" s="12" t="str">
        <f t="shared" si="68"/>
        <v/>
      </c>
      <c r="H91" s="12" t="str">
        <f t="shared" si="67"/>
        <v/>
      </c>
      <c r="I91" s="12" t="str">
        <f t="shared" si="67"/>
        <v/>
      </c>
      <c r="J91" s="12" t="str">
        <f t="shared" si="67"/>
        <v/>
      </c>
      <c r="K91" s="12" t="str">
        <f t="shared" si="67"/>
        <v/>
      </c>
      <c r="L91" s="12" t="str">
        <f t="shared" si="67"/>
        <v/>
      </c>
      <c r="N91" s="138" t="s">
        <v>150</v>
      </c>
    </row>
    <row r="92" spans="1:14" x14ac:dyDescent="0.2">
      <c r="A92" s="122" t="str">
        <f>IF(A91="","",$A$72)</f>
        <v xml:space="preserve">   Enter withdraw [maf] within available water</v>
      </c>
      <c r="C92" s="91"/>
      <c r="D92" s="91"/>
      <c r="E92" s="91"/>
      <c r="F92" s="91"/>
      <c r="G92" s="91"/>
      <c r="H92" s="91"/>
      <c r="I92" s="91"/>
      <c r="J92" s="91"/>
      <c r="K92" s="91"/>
      <c r="L92" s="91"/>
      <c r="N92" s="138" t="s">
        <v>155</v>
      </c>
    </row>
    <row r="93" spans="1:14" x14ac:dyDescent="0.2">
      <c r="A93" t="str">
        <f>IF(A92="","","   End of Year Balance [maf]")</f>
        <v xml:space="preserve">   End of Year Balance [maf]</v>
      </c>
      <c r="C93" s="12" t="str">
        <f>IF(OR(C$28="",$A93=""),"",C91-C92)</f>
        <v/>
      </c>
      <c r="D93" s="12" t="str">
        <f t="shared" ref="D93:L93" si="69">IF(OR(D$28="",$A93=""),"",D91-D92)</f>
        <v/>
      </c>
      <c r="E93" s="12" t="str">
        <f t="shared" si="69"/>
        <v/>
      </c>
      <c r="F93" s="12" t="str">
        <f t="shared" ref="F93:G93" si="70">IF(OR(F$28="",$A93=""),"",F91-F92)</f>
        <v/>
      </c>
      <c r="G93" s="12" t="str">
        <f t="shared" si="70"/>
        <v/>
      </c>
      <c r="H93" s="12" t="str">
        <f t="shared" si="69"/>
        <v/>
      </c>
      <c r="I93" s="12" t="str">
        <f t="shared" si="69"/>
        <v/>
      </c>
      <c r="J93" s="12" t="str">
        <f t="shared" si="69"/>
        <v/>
      </c>
      <c r="K93" s="12" t="str">
        <f t="shared" si="69"/>
        <v/>
      </c>
      <c r="L93" s="12" t="str">
        <f t="shared" si="69"/>
        <v/>
      </c>
      <c r="N93" s="138" t="s">
        <v>151</v>
      </c>
    </row>
    <row r="94" spans="1:14" x14ac:dyDescent="0.2">
      <c r="C94"/>
      <c r="N94" s="139"/>
    </row>
    <row r="95" spans="1:14" x14ac:dyDescent="0.2">
      <c r="A95" s="116" t="str">
        <f>IF(A$8="","[Unused]",A8&amp;" ("&amp;B8&amp;")")</f>
        <v>Nevada ()</v>
      </c>
      <c r="B95" s="97"/>
      <c r="C95" s="97"/>
      <c r="D95" s="97"/>
      <c r="E95" s="97"/>
      <c r="F95" s="97"/>
      <c r="G95" s="97"/>
      <c r="H95" s="97"/>
      <c r="I95" s="97"/>
      <c r="J95" s="97"/>
      <c r="K95" s="97"/>
      <c r="L95" s="97"/>
      <c r="M95" s="98" t="s">
        <v>25</v>
      </c>
      <c r="N95" s="136" t="s">
        <v>146</v>
      </c>
    </row>
    <row r="96" spans="1:14" x14ac:dyDescent="0.2">
      <c r="A96" t="s">
        <v>474</v>
      </c>
      <c r="C96" s="12" t="str">
        <f>IF(OR(C$28="",$A101=""),"",C39+C57-C49)</f>
        <v/>
      </c>
      <c r="D96" s="12" t="str">
        <f t="shared" ref="D96:G96" si="71">IF(OR(D$28="",$A101=""),"",D39+D57-D49)</f>
        <v/>
      </c>
      <c r="E96" s="12" t="str">
        <f t="shared" si="71"/>
        <v/>
      </c>
      <c r="F96" s="12" t="str">
        <f t="shared" si="71"/>
        <v/>
      </c>
      <c r="G96" s="12" t="str">
        <f t="shared" si="71"/>
        <v/>
      </c>
      <c r="H96" s="114" t="str">
        <f t="shared" ref="H96:L96" si="72">IF(OR(H$28="",$A96=""),"",H34+H52-H44+H92)</f>
        <v/>
      </c>
      <c r="I96" s="114" t="str">
        <f t="shared" si="72"/>
        <v/>
      </c>
      <c r="J96" s="114" t="str">
        <f t="shared" si="72"/>
        <v/>
      </c>
      <c r="K96" s="114" t="str">
        <f t="shared" si="72"/>
        <v/>
      </c>
      <c r="L96" s="114" t="str">
        <f t="shared" si="72"/>
        <v/>
      </c>
      <c r="N96" s="136"/>
    </row>
    <row r="97" spans="1:14" x14ac:dyDescent="0.2">
      <c r="A97" s="123" t="str">
        <f>IF(A95="[Unused]","",$A$66)</f>
        <v xml:space="preserve">   Enter volume to Buy(+) or Sell(-) [maf]</v>
      </c>
      <c r="C97" s="89"/>
      <c r="D97" s="89"/>
      <c r="E97" s="89"/>
      <c r="F97" s="89"/>
      <c r="G97" s="89"/>
      <c r="H97" s="89"/>
      <c r="I97" s="89"/>
      <c r="J97" s="89"/>
      <c r="K97" s="89"/>
      <c r="L97" s="89"/>
      <c r="M97" s="329">
        <f>SUM(C97:L97)</f>
        <v>0</v>
      </c>
      <c r="N97" s="141" t="s">
        <v>147</v>
      </c>
    </row>
    <row r="98" spans="1:14" x14ac:dyDescent="0.2">
      <c r="A98" s="123" t="str">
        <f>IF(A97="","","   Enter price per acre-foot to Buy(-) or Sell(+)")</f>
        <v xml:space="preserve">   Enter price per acre-foot to Buy(-) or Sell(+)</v>
      </c>
      <c r="C98" s="90"/>
      <c r="D98" s="90"/>
      <c r="E98" s="90"/>
      <c r="F98" s="90"/>
      <c r="G98" s="90"/>
      <c r="H98" s="90"/>
      <c r="I98" s="90"/>
      <c r="J98" s="90"/>
      <c r="K98" s="90"/>
      <c r="L98" s="325"/>
      <c r="M98" s="326"/>
      <c r="N98" s="338" t="s">
        <v>467</v>
      </c>
    </row>
    <row r="99" spans="1:14" x14ac:dyDescent="0.2">
      <c r="A99" t="s">
        <v>464</v>
      </c>
      <c r="C99" s="324" t="str">
        <f>IF(OR(C97="",C98=""),"",IF(C98&gt;0,ABS(C97*C98),C97*C98)
)</f>
        <v/>
      </c>
      <c r="D99" s="324" t="str">
        <f t="shared" ref="D99:G99" si="73">IF(OR(D97="",D98=""),"",IF(D98&gt;0,ABS(D97*D98),D97*D98)
)</f>
        <v/>
      </c>
      <c r="E99" s="324" t="str">
        <f t="shared" si="73"/>
        <v/>
      </c>
      <c r="F99" s="324" t="str">
        <f t="shared" si="73"/>
        <v/>
      </c>
      <c r="G99" s="324" t="str">
        <f t="shared" si="73"/>
        <v/>
      </c>
      <c r="H99" s="90"/>
      <c r="I99" s="90"/>
      <c r="J99" s="90"/>
      <c r="K99" s="90"/>
      <c r="L99" s="90"/>
      <c r="M99" s="330">
        <f>SUM(C99:L99)</f>
        <v>0</v>
      </c>
      <c r="N99" s="142" t="s">
        <v>148</v>
      </c>
    </row>
    <row r="100" spans="1:14" x14ac:dyDescent="0.2">
      <c r="A100" s="128" t="str">
        <f>IF(A98="","",$A$69)</f>
        <v xml:space="preserve">   Net trade volume all participants (should be zero)</v>
      </c>
      <c r="C100" s="42" t="str">
        <f t="shared" ref="C100:M100" si="74">IF(OR(C$28="",$A100=""),"",C$133)</f>
        <v/>
      </c>
      <c r="D100" s="42" t="str">
        <f>IF(OR(D$28="",$A100=""),"",D$133)</f>
        <v/>
      </c>
      <c r="E100" s="42" t="str">
        <f t="shared" si="74"/>
        <v/>
      </c>
      <c r="F100" s="42" t="str">
        <f t="shared" si="74"/>
        <v/>
      </c>
      <c r="G100" s="42" t="str">
        <f t="shared" si="74"/>
        <v/>
      </c>
      <c r="H100" s="42" t="str">
        <f t="shared" si="74"/>
        <v/>
      </c>
      <c r="I100" s="42" t="str">
        <f t="shared" si="74"/>
        <v/>
      </c>
      <c r="J100" s="42" t="str">
        <f t="shared" si="74"/>
        <v/>
      </c>
      <c r="K100" s="42" t="str">
        <f t="shared" si="74"/>
        <v/>
      </c>
      <c r="L100" s="42" t="str">
        <f t="shared" si="74"/>
        <v/>
      </c>
      <c r="M100" t="str">
        <f t="shared" si="74"/>
        <v/>
      </c>
      <c r="N100" s="138" t="s">
        <v>149</v>
      </c>
    </row>
    <row r="101" spans="1:14" x14ac:dyDescent="0.2">
      <c r="A101" s="1" t="str">
        <f>IF(A98="","","   Available Water [maf]")</f>
        <v xml:space="preserve">   Available Water [maf]</v>
      </c>
      <c r="C101" s="12" t="str">
        <f>IF(OR(C$28="",$A101=""),"",C39+C57-C49+C97)</f>
        <v/>
      </c>
      <c r="D101" s="12" t="str">
        <f t="shared" ref="D101:L101" si="75">IF(OR(D$28="",$A101=""),"",D39+D57-D49+D97)</f>
        <v/>
      </c>
      <c r="E101" s="12" t="str">
        <f t="shared" si="75"/>
        <v/>
      </c>
      <c r="F101" s="12" t="str">
        <f t="shared" ref="F101:G101" si="76">IF(OR(F$28="",$A101=""),"",F39+F57-F49+F97)</f>
        <v/>
      </c>
      <c r="G101" s="12" t="str">
        <f t="shared" si="76"/>
        <v/>
      </c>
      <c r="H101" s="114" t="str">
        <f t="shared" si="75"/>
        <v/>
      </c>
      <c r="I101" s="114" t="str">
        <f t="shared" si="75"/>
        <v/>
      </c>
      <c r="J101" s="114" t="str">
        <f t="shared" si="75"/>
        <v/>
      </c>
      <c r="K101" s="114" t="str">
        <f t="shared" si="75"/>
        <v/>
      </c>
      <c r="L101" s="114" t="str">
        <f t="shared" si="75"/>
        <v/>
      </c>
      <c r="N101" s="138" t="s">
        <v>150</v>
      </c>
    </row>
    <row r="102" spans="1:14" x14ac:dyDescent="0.2">
      <c r="A102" s="122" t="str">
        <f>IF(A101="","",$A$72)</f>
        <v xml:space="preserve">   Enter withdraw [maf] within available water</v>
      </c>
      <c r="C102" s="91"/>
      <c r="D102" s="91"/>
      <c r="E102" s="91"/>
      <c r="F102" s="91"/>
      <c r="G102" s="91"/>
      <c r="H102" s="115"/>
      <c r="I102" s="115"/>
      <c r="J102" s="115"/>
      <c r="K102" s="115"/>
      <c r="L102" s="115"/>
      <c r="N102" s="138" t="s">
        <v>155</v>
      </c>
    </row>
    <row r="103" spans="1:14" x14ac:dyDescent="0.2">
      <c r="A103" t="str">
        <f>IF(A102="","","   End of Year Balance [maf]")</f>
        <v xml:space="preserve">   End of Year Balance [maf]</v>
      </c>
      <c r="C103" s="12" t="str">
        <f>IF(OR(C$28="",$A103=""),"",C101-C102)</f>
        <v/>
      </c>
      <c r="D103" s="12" t="str">
        <f t="shared" ref="D103:L103" si="77">IF(OR(D$28="",$A103=""),"",D101-D102)</f>
        <v/>
      </c>
      <c r="E103" s="12" t="str">
        <f t="shared" si="77"/>
        <v/>
      </c>
      <c r="F103" s="12" t="str">
        <f t="shared" ref="F103:G103" si="78">IF(OR(F$28="",$A103=""),"",F101-F102)</f>
        <v/>
      </c>
      <c r="G103" s="12" t="str">
        <f t="shared" si="78"/>
        <v/>
      </c>
      <c r="H103" s="12" t="str">
        <f t="shared" si="77"/>
        <v/>
      </c>
      <c r="I103" s="12" t="str">
        <f t="shared" si="77"/>
        <v/>
      </c>
      <c r="J103" s="12" t="str">
        <f t="shared" si="77"/>
        <v/>
      </c>
      <c r="K103" s="12" t="str">
        <f t="shared" si="77"/>
        <v/>
      </c>
      <c r="L103" s="12" t="str">
        <f t="shared" si="77"/>
        <v/>
      </c>
      <c r="N103" s="138" t="s">
        <v>151</v>
      </c>
    </row>
    <row r="104" spans="1:14" x14ac:dyDescent="0.2">
      <c r="C104"/>
      <c r="N104" s="139"/>
    </row>
    <row r="105" spans="1:14" x14ac:dyDescent="0.2">
      <c r="A105" s="116" t="str">
        <f>IF(A$9="","[Unused]",A9&amp;" ("&amp;B9&amp;")")</f>
        <v>Mexico ()</v>
      </c>
      <c r="B105" s="97"/>
      <c r="C105" s="97"/>
      <c r="D105" s="97"/>
      <c r="E105" s="97"/>
      <c r="F105" s="97"/>
      <c r="G105" s="97"/>
      <c r="H105" s="97"/>
      <c r="I105" s="97"/>
      <c r="J105" s="97"/>
      <c r="K105" s="97"/>
      <c r="L105" s="97"/>
      <c r="M105" s="98" t="s">
        <v>25</v>
      </c>
      <c r="N105" s="136" t="s">
        <v>146</v>
      </c>
    </row>
    <row r="106" spans="1:14" x14ac:dyDescent="0.2">
      <c r="A106" t="s">
        <v>474</v>
      </c>
      <c r="C106" s="12" t="str">
        <f>IF(OR(C$28="",$A111=""),"",C40+C58-C50)</f>
        <v/>
      </c>
      <c r="D106" s="12" t="str">
        <f t="shared" ref="D106:G106" si="79">IF(OR(D$28="",$A111=""),"",D40+D58-D50)</f>
        <v/>
      </c>
      <c r="E106" s="12" t="str">
        <f t="shared" si="79"/>
        <v/>
      </c>
      <c r="F106" s="12" t="str">
        <f t="shared" si="79"/>
        <v/>
      </c>
      <c r="G106" s="12" t="str">
        <f t="shared" si="79"/>
        <v/>
      </c>
      <c r="H106" s="12" t="str">
        <f t="shared" ref="H106:L106" si="80">IF(OR(H$28="",$A106=""),"",H35+H53-H45+H102)</f>
        <v/>
      </c>
      <c r="I106" s="12" t="str">
        <f t="shared" si="80"/>
        <v/>
      </c>
      <c r="J106" s="12" t="str">
        <f t="shared" si="80"/>
        <v/>
      </c>
      <c r="K106" s="12" t="str">
        <f t="shared" si="80"/>
        <v/>
      </c>
      <c r="L106" s="12" t="str">
        <f t="shared" si="80"/>
        <v/>
      </c>
      <c r="N106" s="136"/>
    </row>
    <row r="107" spans="1:14" x14ac:dyDescent="0.2">
      <c r="A107" s="123" t="s">
        <v>462</v>
      </c>
      <c r="B107" s="237"/>
      <c r="C107" s="89"/>
      <c r="D107" s="89"/>
      <c r="E107" s="89"/>
      <c r="F107" s="89"/>
      <c r="G107" s="89"/>
      <c r="H107" s="331">
        <v>0</v>
      </c>
      <c r="I107" s="89"/>
      <c r="J107" s="89"/>
      <c r="K107" s="89"/>
      <c r="L107" s="89"/>
      <c r="M107" s="329">
        <f>SUM(C107:L107)</f>
        <v>0</v>
      </c>
      <c r="N107" s="141" t="s">
        <v>147</v>
      </c>
    </row>
    <row r="108" spans="1:14" x14ac:dyDescent="0.2">
      <c r="A108" s="123" t="s">
        <v>463</v>
      </c>
      <c r="B108" s="237"/>
      <c r="C108" s="90"/>
      <c r="D108" s="90"/>
      <c r="E108" s="90"/>
      <c r="F108" s="90"/>
      <c r="G108" s="90"/>
      <c r="H108" s="332"/>
      <c r="I108" s="90"/>
      <c r="J108" s="90"/>
      <c r="K108" s="90"/>
      <c r="L108" s="90"/>
      <c r="M108" s="326"/>
      <c r="N108" s="338" t="s">
        <v>467</v>
      </c>
    </row>
    <row r="109" spans="1:14" x14ac:dyDescent="0.2">
      <c r="A109" t="s">
        <v>464</v>
      </c>
      <c r="B109" s="237"/>
      <c r="C109" s="324" t="str">
        <f>IF(OR(C107="",C108=""),"",IF(C108&gt;0,ABS(C107*C108),C107*C108)
)</f>
        <v/>
      </c>
      <c r="D109" s="324" t="str">
        <f t="shared" ref="D109:G109" si="81">IF(OR(D107="",D108=""),"",IF(D108&gt;0,ABS(D107*D108),D107*D108)
)</f>
        <v/>
      </c>
      <c r="E109" s="324" t="str">
        <f t="shared" si="81"/>
        <v/>
      </c>
      <c r="F109" s="324" t="str">
        <f t="shared" si="81"/>
        <v/>
      </c>
      <c r="G109" s="324" t="str">
        <f t="shared" si="81"/>
        <v/>
      </c>
      <c r="H109" s="333">
        <v>0</v>
      </c>
      <c r="I109" s="90"/>
      <c r="J109" s="90"/>
      <c r="K109" s="90"/>
      <c r="L109" s="90"/>
      <c r="M109" s="330">
        <f>SUM(C109:L109)</f>
        <v>0</v>
      </c>
      <c r="N109" s="142" t="s">
        <v>148</v>
      </c>
    </row>
    <row r="110" spans="1:14" x14ac:dyDescent="0.2">
      <c r="A110" s="128" t="str">
        <f>IF(A108="","",$A$69)</f>
        <v xml:space="preserve">   Net trade volume all participants (should be zero)</v>
      </c>
      <c r="C110" s="42" t="str">
        <f t="shared" ref="C110:M110" si="82">IF(OR(C$28="",$A110=""),"",C$133)</f>
        <v/>
      </c>
      <c r="D110" s="42" t="str">
        <f>IF(OR(D$28="",$A110=""),"",D$133)</f>
        <v/>
      </c>
      <c r="E110" s="42" t="str">
        <f t="shared" si="82"/>
        <v/>
      </c>
      <c r="F110" s="42" t="str">
        <f t="shared" si="82"/>
        <v/>
      </c>
      <c r="G110" s="42" t="str">
        <f t="shared" si="82"/>
        <v/>
      </c>
      <c r="H110" s="42" t="str">
        <f t="shared" si="82"/>
        <v/>
      </c>
      <c r="I110" s="42" t="str">
        <f t="shared" si="82"/>
        <v/>
      </c>
      <c r="J110" s="42" t="str">
        <f t="shared" si="82"/>
        <v/>
      </c>
      <c r="K110" s="42" t="str">
        <f t="shared" si="82"/>
        <v/>
      </c>
      <c r="L110" s="42" t="str">
        <f t="shared" si="82"/>
        <v/>
      </c>
      <c r="M110" t="str">
        <f t="shared" si="82"/>
        <v/>
      </c>
      <c r="N110" s="138" t="s">
        <v>149</v>
      </c>
    </row>
    <row r="111" spans="1:14" x14ac:dyDescent="0.2">
      <c r="A111" s="1" t="str">
        <f>IF(A108="","","   Available Water [maf]")</f>
        <v xml:space="preserve">   Available Water [maf]</v>
      </c>
      <c r="C111" s="12" t="str">
        <f>IF(OR(C$28="",$A111=""),"",C40+C58-C50+C107)</f>
        <v/>
      </c>
      <c r="D111" s="12" t="str">
        <f t="shared" ref="D111:L111" si="83">IF(OR(D$28="",$A111=""),"",D40+D58-D50+D107)</f>
        <v/>
      </c>
      <c r="E111" s="12" t="str">
        <f t="shared" si="83"/>
        <v/>
      </c>
      <c r="F111" s="12" t="str">
        <f t="shared" ref="F111:G111" si="84">IF(OR(F$28="",$A111=""),"",F40+F58-F50+F107)</f>
        <v/>
      </c>
      <c r="G111" s="12" t="str">
        <f t="shared" si="84"/>
        <v/>
      </c>
      <c r="H111" s="12" t="str">
        <f t="shared" si="83"/>
        <v/>
      </c>
      <c r="I111" s="12" t="str">
        <f t="shared" si="83"/>
        <v/>
      </c>
      <c r="J111" s="12" t="str">
        <f t="shared" si="83"/>
        <v/>
      </c>
      <c r="K111" s="12" t="str">
        <f t="shared" si="83"/>
        <v/>
      </c>
      <c r="L111" s="12" t="str">
        <f t="shared" si="83"/>
        <v/>
      </c>
      <c r="N111" s="138" t="s">
        <v>150</v>
      </c>
    </row>
    <row r="112" spans="1:14" x14ac:dyDescent="0.2">
      <c r="A112" s="122" t="str">
        <f>IF(A111="","",$A$72)</f>
        <v xml:space="preserve">   Enter withdraw [maf] within available water</v>
      </c>
      <c r="C112" s="91"/>
      <c r="D112" s="91"/>
      <c r="E112" s="91"/>
      <c r="F112" s="91"/>
      <c r="G112" s="91"/>
      <c r="H112" s="91"/>
      <c r="I112" s="91"/>
      <c r="J112" s="91"/>
      <c r="K112" s="91"/>
      <c r="L112" s="91"/>
      <c r="N112" s="138" t="s">
        <v>155</v>
      </c>
    </row>
    <row r="113" spans="1:14" x14ac:dyDescent="0.2">
      <c r="A113" t="str">
        <f>IF(A112="","","   End of Year Balance [maf]")</f>
        <v xml:space="preserve">   End of Year Balance [maf]</v>
      </c>
      <c r="C113" s="12" t="str">
        <f>IF(OR(C$28="",$A113=""),"",C111-C112)</f>
        <v/>
      </c>
      <c r="D113" s="12" t="str">
        <f t="shared" ref="D113:L113" si="85">IF(OR(D$28="",$A113=""),"",D111-D112)</f>
        <v/>
      </c>
      <c r="E113" s="12" t="str">
        <f t="shared" si="85"/>
        <v/>
      </c>
      <c r="F113" s="12" t="str">
        <f t="shared" ref="F113:G113" si="86">IF(OR(F$28="",$A113=""),"",F111-F112)</f>
        <v/>
      </c>
      <c r="G113" s="12" t="str">
        <f t="shared" si="86"/>
        <v/>
      </c>
      <c r="H113" s="12" t="str">
        <f t="shared" si="85"/>
        <v/>
      </c>
      <c r="I113" s="12" t="str">
        <f t="shared" si="85"/>
        <v/>
      </c>
      <c r="J113" s="12" t="str">
        <f t="shared" si="85"/>
        <v/>
      </c>
      <c r="K113" s="12" t="str">
        <f t="shared" si="85"/>
        <v/>
      </c>
      <c r="L113" s="12" t="str">
        <f t="shared" si="85"/>
        <v/>
      </c>
      <c r="N113" s="138" t="s">
        <v>151</v>
      </c>
    </row>
    <row r="114" spans="1:14" x14ac:dyDescent="0.2">
      <c r="C114"/>
      <c r="N114" s="139"/>
    </row>
    <row r="115" spans="1:14" x14ac:dyDescent="0.2">
      <c r="A115" s="116" t="str">
        <f>IF(A$10="","[Unused]",A10&amp;" ("&amp;B10&amp;")")</f>
        <v>Tribal Nations of the Lower Basin ()</v>
      </c>
      <c r="B115" s="97"/>
      <c r="C115" s="97"/>
      <c r="D115" s="97"/>
      <c r="E115" s="97"/>
      <c r="F115" s="97"/>
      <c r="G115" s="97"/>
      <c r="H115" s="97"/>
      <c r="I115" s="97"/>
      <c r="J115" s="97"/>
      <c r="K115" s="97"/>
      <c r="L115" s="97"/>
      <c r="M115" s="98" t="s">
        <v>25</v>
      </c>
      <c r="N115" s="136" t="s">
        <v>146</v>
      </c>
    </row>
    <row r="116" spans="1:14" x14ac:dyDescent="0.2">
      <c r="A116" t="s">
        <v>474</v>
      </c>
      <c r="C116" s="12" t="str">
        <f>IF(OR(C$28="",$A121=""),"",C41+C59-C51)</f>
        <v/>
      </c>
      <c r="D116" s="12" t="str">
        <f t="shared" ref="D116:G116" si="87">IF(OR(D$28="",$A121=""),"",D41+D59-D51)</f>
        <v/>
      </c>
      <c r="E116" s="12" t="str">
        <f t="shared" si="87"/>
        <v/>
      </c>
      <c r="F116" s="12" t="str">
        <f t="shared" si="87"/>
        <v/>
      </c>
      <c r="G116" s="12" t="str">
        <f t="shared" si="87"/>
        <v/>
      </c>
      <c r="H116" s="12" t="str">
        <f t="shared" ref="H116:L116" si="88">IF(OR(H$28="",$A116=""),"",H36+H54-H46+H112)</f>
        <v/>
      </c>
      <c r="I116" s="12" t="str">
        <f t="shared" si="88"/>
        <v/>
      </c>
      <c r="J116" s="12" t="str">
        <f t="shared" si="88"/>
        <v/>
      </c>
      <c r="K116" s="12" t="str">
        <f t="shared" si="88"/>
        <v/>
      </c>
      <c r="L116" s="12" t="str">
        <f t="shared" si="88"/>
        <v/>
      </c>
      <c r="N116" s="136"/>
    </row>
    <row r="117" spans="1:14" x14ac:dyDescent="0.2">
      <c r="A117" s="123" t="s">
        <v>462</v>
      </c>
      <c r="B117" s="237"/>
      <c r="C117" s="89"/>
      <c r="D117" s="89"/>
      <c r="E117" s="89"/>
      <c r="F117" s="89"/>
      <c r="G117" s="89"/>
      <c r="H117" s="331">
        <v>0</v>
      </c>
      <c r="I117" s="89"/>
      <c r="J117" s="89"/>
      <c r="K117" s="89"/>
      <c r="L117" s="89"/>
      <c r="M117" s="329">
        <f>SUM(C117:L117)</f>
        <v>0</v>
      </c>
      <c r="N117" s="141" t="s">
        <v>147</v>
      </c>
    </row>
    <row r="118" spans="1:14" x14ac:dyDescent="0.2">
      <c r="A118" s="123" t="s">
        <v>463</v>
      </c>
      <c r="B118" s="237"/>
      <c r="C118" s="90"/>
      <c r="D118" s="90"/>
      <c r="E118" s="90"/>
      <c r="F118" s="90"/>
      <c r="G118" s="90"/>
      <c r="H118" s="332"/>
      <c r="I118" s="90"/>
      <c r="J118" s="90"/>
      <c r="K118" s="90"/>
      <c r="L118" s="90"/>
      <c r="M118" s="326"/>
      <c r="N118" s="338" t="s">
        <v>467</v>
      </c>
    </row>
    <row r="119" spans="1:14" x14ac:dyDescent="0.2">
      <c r="A119" t="s">
        <v>464</v>
      </c>
      <c r="B119" s="237"/>
      <c r="C119" s="324" t="str">
        <f>IF(OR(C117="",C118=""),"",IF(C118&gt;0,ABS(C117*C118),C117*C118)
)</f>
        <v/>
      </c>
      <c r="D119" s="324" t="str">
        <f t="shared" ref="D119:G119" si="89">IF(OR(D117="",D118=""),"",IF(D118&gt;0,ABS(D117*D118),D117*D118)
)</f>
        <v/>
      </c>
      <c r="E119" s="324" t="str">
        <f t="shared" si="89"/>
        <v/>
      </c>
      <c r="F119" s="324" t="str">
        <f t="shared" si="89"/>
        <v/>
      </c>
      <c r="G119" s="324" t="str">
        <f t="shared" si="89"/>
        <v/>
      </c>
      <c r="H119" s="333">
        <v>0</v>
      </c>
      <c r="I119" s="90"/>
      <c r="J119" s="90"/>
      <c r="K119" s="90"/>
      <c r="L119" s="90"/>
      <c r="M119" s="330">
        <f>SUM(C119:L119)</f>
        <v>0</v>
      </c>
      <c r="N119" s="142" t="s">
        <v>148</v>
      </c>
    </row>
    <row r="120" spans="1:14" x14ac:dyDescent="0.2">
      <c r="A120" s="128" t="str">
        <f>IF(A118="","",$A$69)</f>
        <v xml:space="preserve">   Net trade volume all participants (should be zero)</v>
      </c>
      <c r="C120" s="42" t="str">
        <f>IF(OR(C$28="",$A120=""),"",C$133)</f>
        <v/>
      </c>
      <c r="D120" s="42" t="str">
        <f t="shared" ref="D120:M120" si="90">IF(OR(D$28="",$A120=""),"",D$133)</f>
        <v/>
      </c>
      <c r="E120" s="42" t="str">
        <f t="shared" si="90"/>
        <v/>
      </c>
      <c r="F120" s="42" t="str">
        <f t="shared" si="90"/>
        <v/>
      </c>
      <c r="G120" s="42" t="str">
        <f t="shared" si="90"/>
        <v/>
      </c>
      <c r="H120" s="42" t="str">
        <f t="shared" si="90"/>
        <v/>
      </c>
      <c r="I120" s="42" t="str">
        <f t="shared" si="90"/>
        <v/>
      </c>
      <c r="J120" s="42" t="str">
        <f t="shared" si="90"/>
        <v/>
      </c>
      <c r="K120" s="42" t="str">
        <f t="shared" si="90"/>
        <v/>
      </c>
      <c r="L120" s="42" t="str">
        <f t="shared" si="90"/>
        <v/>
      </c>
      <c r="M120" t="str">
        <f t="shared" si="90"/>
        <v/>
      </c>
      <c r="N120" s="138" t="s">
        <v>149</v>
      </c>
    </row>
    <row r="121" spans="1:14" x14ac:dyDescent="0.2">
      <c r="A121" s="1" t="str">
        <f>IF(A118="","","   Available Water [maf]")</f>
        <v xml:space="preserve">   Available Water [maf]</v>
      </c>
      <c r="C121" s="12" t="str">
        <f>IF(OR(C$28="",$A121=""),"",C41+C59-C51+C117)</f>
        <v/>
      </c>
      <c r="D121" s="12" t="str">
        <f t="shared" ref="D121:L121" si="91">IF(OR(D$28="",$A121=""),"",D41+D59-D51+D117)</f>
        <v/>
      </c>
      <c r="E121" s="12" t="str">
        <f t="shared" si="91"/>
        <v/>
      </c>
      <c r="F121" s="12" t="str">
        <f t="shared" ref="F121:G121" si="92">IF(OR(F$28="",$A121=""),"",F41+F59-F51+F117)</f>
        <v/>
      </c>
      <c r="G121" s="12" t="str">
        <f t="shared" si="92"/>
        <v/>
      </c>
      <c r="H121" s="12" t="str">
        <f t="shared" si="91"/>
        <v/>
      </c>
      <c r="I121" s="12" t="str">
        <f t="shared" si="91"/>
        <v/>
      </c>
      <c r="J121" s="12" t="str">
        <f t="shared" si="91"/>
        <v/>
      </c>
      <c r="K121" s="12" t="str">
        <f t="shared" si="91"/>
        <v/>
      </c>
      <c r="L121" s="12" t="str">
        <f t="shared" si="91"/>
        <v/>
      </c>
      <c r="N121" s="138" t="s">
        <v>150</v>
      </c>
    </row>
    <row r="122" spans="1:14" x14ac:dyDescent="0.2">
      <c r="A122" s="122" t="str">
        <f>IF(A121="","",$A$72)</f>
        <v xml:space="preserve">   Enter withdraw [maf] within available water</v>
      </c>
      <c r="C122" s="91"/>
      <c r="D122" s="91"/>
      <c r="E122" s="91"/>
      <c r="F122" s="91"/>
      <c r="G122" s="91"/>
      <c r="H122" s="26"/>
      <c r="I122" s="26"/>
      <c r="J122" s="26"/>
      <c r="K122" s="26"/>
      <c r="L122" s="26"/>
      <c r="N122" s="138" t="s">
        <v>155</v>
      </c>
    </row>
    <row r="123" spans="1:14" x14ac:dyDescent="0.2">
      <c r="A123" t="str">
        <f>IF(A122="","","   End of Year Balance [maf]")</f>
        <v xml:space="preserve">   End of Year Balance [maf]</v>
      </c>
      <c r="C123" s="12" t="str">
        <f>IF(OR(C$28="",$A123=""),"",C121-C122)</f>
        <v/>
      </c>
      <c r="D123" s="12" t="str">
        <f t="shared" ref="D123:L123" si="93">IF(OR(D$28="",$A123=""),"",D121-D122)</f>
        <v/>
      </c>
      <c r="E123" s="12" t="str">
        <f t="shared" si="93"/>
        <v/>
      </c>
      <c r="F123" s="12" t="str">
        <f t="shared" ref="F123:G123" si="94">IF(OR(F$28="",$A123=""),"",F121-F122)</f>
        <v/>
      </c>
      <c r="G123" s="12" t="str">
        <f t="shared" si="94"/>
        <v/>
      </c>
      <c r="H123" s="12" t="str">
        <f t="shared" si="93"/>
        <v/>
      </c>
      <c r="I123" s="12" t="str">
        <f t="shared" si="93"/>
        <v/>
      </c>
      <c r="J123" s="12" t="str">
        <f t="shared" si="93"/>
        <v/>
      </c>
      <c r="K123" s="12" t="str">
        <f t="shared" si="93"/>
        <v/>
      </c>
      <c r="L123" s="12" t="str">
        <f t="shared" si="93"/>
        <v/>
      </c>
      <c r="N123" s="138" t="s">
        <v>151</v>
      </c>
    </row>
    <row r="124" spans="1:14" x14ac:dyDescent="0.2">
      <c r="C124"/>
      <c r="N124" s="139"/>
    </row>
    <row r="125" spans="1:14" x14ac:dyDescent="0.2">
      <c r="A125" s="99" t="s">
        <v>188</v>
      </c>
      <c r="B125" s="99"/>
      <c r="C125" s="99"/>
      <c r="D125" s="99"/>
      <c r="E125" s="99"/>
      <c r="F125" s="99"/>
      <c r="G125" s="99"/>
      <c r="H125" s="99"/>
      <c r="I125" s="99"/>
      <c r="J125" s="99"/>
      <c r="K125" s="99"/>
      <c r="L125" s="99"/>
      <c r="M125" s="99"/>
      <c r="N125" s="138" t="s">
        <v>152</v>
      </c>
    </row>
    <row r="126" spans="1:14" x14ac:dyDescent="0.2">
      <c r="A126" s="1" t="s">
        <v>102</v>
      </c>
      <c r="C126"/>
      <c r="M126" t="s">
        <v>49</v>
      </c>
      <c r="N126" s="139"/>
    </row>
    <row r="127" spans="1:14" x14ac:dyDescent="0.2">
      <c r="A127" t="str">
        <f t="shared" ref="A127:A132" si="95">IF(A5="","","    "&amp;A5)</f>
        <v xml:space="preserve">    Reclamation - Protect Zone</v>
      </c>
      <c r="B127" s="1"/>
      <c r="C127" s="42" t="str">
        <f>IF(OR(C$28="",$A127=""),"",C66)</f>
        <v/>
      </c>
      <c r="D127" s="42" t="str">
        <f t="shared" ref="D127:G127" si="96">IF(OR(D$28="",$A127=""),"",D66)</f>
        <v/>
      </c>
      <c r="E127" s="42" t="str">
        <f t="shared" si="96"/>
        <v/>
      </c>
      <c r="F127" s="42" t="str">
        <f t="shared" si="96"/>
        <v/>
      </c>
      <c r="G127" s="42" t="str">
        <f t="shared" si="96"/>
        <v/>
      </c>
      <c r="H127" s="42" t="str">
        <f t="shared" ref="H127:L127" ca="1" si="97">IF(OR(H$28="",$A127=""),"",OFFSET(H$66,8*(ROW(G127)-ROW(G$127)),0))</f>
        <v/>
      </c>
      <c r="I127" s="42" t="str">
        <f t="shared" ca="1" si="97"/>
        <v/>
      </c>
      <c r="J127" s="42" t="str">
        <f t="shared" ca="1" si="97"/>
        <v/>
      </c>
      <c r="K127" s="42" t="str">
        <f t="shared" ca="1" si="97"/>
        <v/>
      </c>
      <c r="L127" s="132" t="str">
        <f t="shared" ca="1" si="97"/>
        <v/>
      </c>
      <c r="M127" s="133">
        <f ca="1">IF(OR($A127=""),"",SUM(C127:L127))</f>
        <v>0</v>
      </c>
      <c r="N127" s="143"/>
    </row>
    <row r="128" spans="1:14" x14ac:dyDescent="0.2">
      <c r="A128" t="str">
        <f t="shared" si="95"/>
        <v xml:space="preserve">    California</v>
      </c>
      <c r="B128" s="1"/>
      <c r="C128" s="42" t="str">
        <f>IF(OR(C$28="",$A128=""),"",C77)</f>
        <v/>
      </c>
      <c r="D128" s="42" t="str">
        <f t="shared" ref="D128:G128" si="98">IF(OR(D$28="",$A128=""),"",D77)</f>
        <v/>
      </c>
      <c r="E128" s="42" t="str">
        <f t="shared" si="98"/>
        <v/>
      </c>
      <c r="F128" s="42" t="str">
        <f t="shared" si="98"/>
        <v/>
      </c>
      <c r="G128" s="42" t="str">
        <f t="shared" si="98"/>
        <v/>
      </c>
      <c r="H128" s="42" t="str">
        <f t="shared" ref="H128:L128" ca="1" si="99">IF(OR(H$28="",$A128=""),"",OFFSET(H$66,8*(ROW(G128)-ROW(G$127)),0))</f>
        <v/>
      </c>
      <c r="I128" s="42" t="str">
        <f t="shared" ca="1" si="99"/>
        <v/>
      </c>
      <c r="J128" s="42" t="str">
        <f t="shared" ca="1" si="99"/>
        <v/>
      </c>
      <c r="K128" s="42" t="str">
        <f t="shared" ca="1" si="99"/>
        <v/>
      </c>
      <c r="L128" s="132" t="str">
        <f t="shared" ca="1" si="99"/>
        <v/>
      </c>
      <c r="M128" s="133">
        <f t="shared" ref="M128:M132" ca="1" si="100">IF(OR($A128=""),"",SUM(C128:L128))</f>
        <v>0</v>
      </c>
      <c r="N128" s="143"/>
    </row>
    <row r="129" spans="1:14" x14ac:dyDescent="0.2">
      <c r="A129" t="str">
        <f t="shared" si="95"/>
        <v xml:space="preserve">    Arizona</v>
      </c>
      <c r="B129" s="1"/>
      <c r="C129" s="42" t="str">
        <f>IF(OR(C$28="",$A129=""),"",C87)</f>
        <v/>
      </c>
      <c r="D129" s="42" t="str">
        <f t="shared" ref="D129:G129" si="101">IF(OR(D$28="",$A129=""),"",D87)</f>
        <v/>
      </c>
      <c r="E129" s="42" t="str">
        <f t="shared" si="101"/>
        <v/>
      </c>
      <c r="F129" s="42" t="str">
        <f t="shared" si="101"/>
        <v/>
      </c>
      <c r="G129" s="42" t="str">
        <f t="shared" si="101"/>
        <v/>
      </c>
      <c r="H129" s="42" t="str">
        <f t="shared" ref="H129:L129" ca="1" si="102">IF(OR(H$28="",$A129=""),"",OFFSET(H$66,8*(ROW(G129)-ROW(G$127)),0))</f>
        <v/>
      </c>
      <c r="I129" s="42" t="str">
        <f t="shared" ca="1" si="102"/>
        <v/>
      </c>
      <c r="J129" s="42" t="str">
        <f t="shared" ca="1" si="102"/>
        <v/>
      </c>
      <c r="K129" s="42" t="str">
        <f t="shared" ca="1" si="102"/>
        <v/>
      </c>
      <c r="L129" s="132" t="str">
        <f t="shared" ca="1" si="102"/>
        <v/>
      </c>
      <c r="M129" s="133">
        <f t="shared" ca="1" si="100"/>
        <v>0</v>
      </c>
      <c r="N129" s="143"/>
    </row>
    <row r="130" spans="1:14" x14ac:dyDescent="0.2">
      <c r="A130" t="str">
        <f t="shared" si="95"/>
        <v xml:space="preserve">    Nevada</v>
      </c>
      <c r="B130" s="1"/>
      <c r="C130" s="42" t="str">
        <f>IF(OR(C$28="",$A130=""),"",C97)</f>
        <v/>
      </c>
      <c r="D130" s="42" t="str">
        <f t="shared" ref="D130:G130" si="103">IF(OR(D$28="",$A130=""),"",D97)</f>
        <v/>
      </c>
      <c r="E130" s="42" t="str">
        <f t="shared" si="103"/>
        <v/>
      </c>
      <c r="F130" s="42" t="str">
        <f t="shared" si="103"/>
        <v/>
      </c>
      <c r="G130" s="42" t="str">
        <f t="shared" si="103"/>
        <v/>
      </c>
      <c r="H130" s="42" t="str">
        <f t="shared" ref="H130:L130" ca="1" si="104">IF(OR(H$28="",$A130=""),"",OFFSET(H$66,8*(ROW(G130)-ROW(G$127)),0))</f>
        <v/>
      </c>
      <c r="I130" s="42" t="str">
        <f t="shared" ca="1" si="104"/>
        <v/>
      </c>
      <c r="J130" s="42" t="str">
        <f t="shared" ca="1" si="104"/>
        <v/>
      </c>
      <c r="K130" s="42" t="str">
        <f t="shared" ca="1" si="104"/>
        <v/>
      </c>
      <c r="L130" s="132" t="str">
        <f t="shared" ca="1" si="104"/>
        <v/>
      </c>
      <c r="M130" s="133">
        <f t="shared" ca="1" si="100"/>
        <v>0</v>
      </c>
      <c r="N130" s="143"/>
    </row>
    <row r="131" spans="1:14" x14ac:dyDescent="0.2">
      <c r="A131" t="str">
        <f t="shared" si="95"/>
        <v xml:space="preserve">    Mexico</v>
      </c>
      <c r="B131" s="1"/>
      <c r="C131" s="42" t="str">
        <f>IF(OR(C$28="",$A131=""),"",C107)</f>
        <v/>
      </c>
      <c r="D131" s="42" t="str">
        <f t="shared" ref="D131:G131" si="105">IF(OR(D$28="",$A131=""),"",D107)</f>
        <v/>
      </c>
      <c r="E131" s="42" t="str">
        <f t="shared" si="105"/>
        <v/>
      </c>
      <c r="F131" s="42" t="str">
        <f t="shared" si="105"/>
        <v/>
      </c>
      <c r="G131" s="42" t="str">
        <f t="shared" si="105"/>
        <v/>
      </c>
      <c r="H131" s="42" t="str">
        <f t="shared" ref="H131:L131" ca="1" si="106">IF(OR(H$28="",$A131=""),"",OFFSET(H$66,8*(ROW(G131)-ROW(G$127)),0))</f>
        <v/>
      </c>
      <c r="I131" s="42" t="str">
        <f t="shared" ca="1" si="106"/>
        <v/>
      </c>
      <c r="J131" s="42" t="str">
        <f t="shared" ca="1" si="106"/>
        <v/>
      </c>
      <c r="K131" s="42" t="str">
        <f t="shared" ca="1" si="106"/>
        <v/>
      </c>
      <c r="L131" s="132" t="str">
        <f t="shared" ca="1" si="106"/>
        <v/>
      </c>
      <c r="M131" s="133">
        <f t="shared" ca="1" si="100"/>
        <v>0</v>
      </c>
      <c r="N131" s="143"/>
    </row>
    <row r="132" spans="1:14" x14ac:dyDescent="0.2">
      <c r="A132" t="str">
        <f t="shared" si="95"/>
        <v xml:space="preserve">    Tribal Nations of the Lower Basin</v>
      </c>
      <c r="B132" s="1"/>
      <c r="C132" s="42" t="str">
        <f>IF(OR(C$28="",$A132=""),"",C117)</f>
        <v/>
      </c>
      <c r="D132" s="42" t="str">
        <f t="shared" ref="D132:G132" si="107">IF(OR(D$28="",$A132=""),"",D117)</f>
        <v/>
      </c>
      <c r="E132" s="42" t="str">
        <f t="shared" si="107"/>
        <v/>
      </c>
      <c r="F132" s="42" t="str">
        <f t="shared" si="107"/>
        <v/>
      </c>
      <c r="G132" s="42" t="str">
        <f t="shared" si="107"/>
        <v/>
      </c>
      <c r="H132" s="42" t="str">
        <f t="shared" ref="H132:L132" ca="1" si="108">IF(OR(H$28="",$A132=""),"",OFFSET(H$66,8*(ROW(G132)-ROW(G$127)),0))</f>
        <v/>
      </c>
      <c r="I132" s="42" t="str">
        <f t="shared" ca="1" si="108"/>
        <v/>
      </c>
      <c r="J132" s="42" t="str">
        <f t="shared" ca="1" si="108"/>
        <v/>
      </c>
      <c r="K132" s="42" t="str">
        <f t="shared" ca="1" si="108"/>
        <v/>
      </c>
      <c r="L132" s="132" t="str">
        <f t="shared" ca="1" si="108"/>
        <v/>
      </c>
      <c r="M132" s="133">
        <f t="shared" ca="1" si="100"/>
        <v>0</v>
      </c>
      <c r="N132" s="143"/>
    </row>
    <row r="133" spans="1:14" x14ac:dyDescent="0.2">
      <c r="A133" t="s">
        <v>38</v>
      </c>
      <c r="B133" s="1"/>
      <c r="C133" s="12" t="str">
        <f>IF(C$28&lt;&gt;"",SUM(C127:C132),"")</f>
        <v/>
      </c>
      <c r="D133" s="12" t="str">
        <f t="shared" ref="D133:G133" si="109">IF(D$28&lt;&gt;"",SUM(D127:D132),"")</f>
        <v/>
      </c>
      <c r="E133" s="12" t="str">
        <f t="shared" si="109"/>
        <v/>
      </c>
      <c r="F133" s="12" t="str">
        <f t="shared" si="109"/>
        <v/>
      </c>
      <c r="G133" s="12" t="str">
        <f t="shared" si="109"/>
        <v/>
      </c>
      <c r="H133" s="31" t="str">
        <f t="shared" ref="H133:L133" si="110">IF(H$28&lt;&gt;"",SUM(H127:H132),"")</f>
        <v/>
      </c>
      <c r="I133" s="31" t="str">
        <f t="shared" si="110"/>
        <v/>
      </c>
      <c r="J133" s="31" t="str">
        <f t="shared" si="110"/>
        <v/>
      </c>
      <c r="K133" s="31" t="str">
        <f t="shared" si="110"/>
        <v/>
      </c>
      <c r="L133" s="31" t="str">
        <f t="shared" si="110"/>
        <v/>
      </c>
      <c r="M133" s="19"/>
      <c r="N133" s="144"/>
    </row>
    <row r="134" spans="1:14" x14ac:dyDescent="0.2">
      <c r="A134" s="1" t="s">
        <v>103</v>
      </c>
      <c r="B134" s="1"/>
      <c r="C134" s="33"/>
      <c r="D134" s="2"/>
      <c r="E134" s="33"/>
      <c r="F134" s="2"/>
      <c r="G134" s="2"/>
      <c r="H134" s="2"/>
      <c r="I134" s="2"/>
      <c r="J134" s="2"/>
      <c r="K134" s="2"/>
      <c r="L134" s="2"/>
      <c r="N134" s="139"/>
    </row>
    <row r="135" spans="1:14" x14ac:dyDescent="0.2">
      <c r="A135" t="str">
        <f>IF(A5="","","    "&amp;A5&amp;" - Consumptive Use and Headwaters Losses")</f>
        <v xml:space="preserve">    Reclamation - Protect Zone - Consumptive Use and Headwaters Losses</v>
      </c>
      <c r="C135" s="42" t="str">
        <f>IF(OR(C$28="",$A135=""),"",C72)</f>
        <v/>
      </c>
      <c r="D135" s="42" t="str">
        <f t="shared" ref="D135:G135" si="111">IF(OR(D$28="",$A135=""),"",D72)</f>
        <v/>
      </c>
      <c r="E135" s="42" t="str">
        <f t="shared" si="111"/>
        <v/>
      </c>
      <c r="F135" s="42" t="str">
        <f t="shared" si="111"/>
        <v/>
      </c>
      <c r="G135" s="42" t="str">
        <f t="shared" si="111"/>
        <v/>
      </c>
      <c r="H135" s="42" t="str">
        <f t="shared" ref="H135:L135" ca="1" si="112">IF(OR(H$28="",$A135=""),"",OFFSET(H$72,8*(ROW(G135)-ROW(G$135)),0))</f>
        <v/>
      </c>
      <c r="I135" s="42" t="str">
        <f t="shared" ca="1" si="112"/>
        <v/>
      </c>
      <c r="J135" s="42" t="str">
        <f t="shared" ca="1" si="112"/>
        <v/>
      </c>
      <c r="K135" s="42" t="str">
        <f t="shared" ca="1" si="112"/>
        <v/>
      </c>
      <c r="L135" s="42" t="str">
        <f t="shared" ca="1" si="112"/>
        <v/>
      </c>
      <c r="N135" s="139"/>
    </row>
    <row r="136" spans="1:14" x14ac:dyDescent="0.2">
      <c r="A136" t="str">
        <f>IF(A6="","","    "&amp;A6&amp;" - Release from Mead")</f>
        <v xml:space="preserve">    California - Release from Mead</v>
      </c>
      <c r="C136" s="42" t="str">
        <f>IF(OR(C$28="",$A136=""),"",C82)</f>
        <v/>
      </c>
      <c r="D136" s="42" t="str">
        <f t="shared" ref="D136:G136" si="113">IF(OR(D$28="",$A136=""),"",D82)</f>
        <v/>
      </c>
      <c r="E136" s="42" t="str">
        <f t="shared" si="113"/>
        <v/>
      </c>
      <c r="F136" s="42" t="str">
        <f t="shared" si="113"/>
        <v/>
      </c>
      <c r="G136" s="42" t="str">
        <f t="shared" si="113"/>
        <v/>
      </c>
      <c r="H136" s="42" t="str">
        <f t="shared" ref="H136:L136" ca="1" si="114">IF(OR(H$28="",$A136=""),"",OFFSET(H$72,8*(ROW(G136)-ROW(G$135)),0))</f>
        <v/>
      </c>
      <c r="I136" s="42" t="str">
        <f t="shared" ca="1" si="114"/>
        <v/>
      </c>
      <c r="J136" s="42" t="str">
        <f t="shared" ca="1" si="114"/>
        <v/>
      </c>
      <c r="K136" s="42" t="str">
        <f t="shared" ca="1" si="114"/>
        <v/>
      </c>
      <c r="L136" s="42" t="str">
        <f t="shared" ca="1" si="114"/>
        <v/>
      </c>
      <c r="N136" s="139"/>
    </row>
    <row r="137" spans="1:14" x14ac:dyDescent="0.2">
      <c r="A137" t="str">
        <f>IF(A7="","","    "&amp;A7&amp;" - Release from Mead")</f>
        <v xml:space="preserve">    Arizona - Release from Mead</v>
      </c>
      <c r="C137" s="42" t="str">
        <f>IF(OR(C$28="",$A137=""),"",C92)</f>
        <v/>
      </c>
      <c r="D137" s="42" t="str">
        <f t="shared" ref="D137:G137" si="115">IF(OR(D$28="",$A137=""),"",D92)</f>
        <v/>
      </c>
      <c r="E137" s="42" t="str">
        <f t="shared" si="115"/>
        <v/>
      </c>
      <c r="F137" s="42" t="str">
        <f t="shared" si="115"/>
        <v/>
      </c>
      <c r="G137" s="42" t="str">
        <f t="shared" si="115"/>
        <v/>
      </c>
      <c r="H137" s="42" t="str">
        <f t="shared" ref="H137:L137" ca="1" si="116">IF(OR(H$28="",$A137=""),"",OFFSET(H$72,8*(ROW(G137)-ROW(G$135)),0))</f>
        <v/>
      </c>
      <c r="I137" s="42" t="str">
        <f t="shared" ca="1" si="116"/>
        <v/>
      </c>
      <c r="J137" s="42" t="str">
        <f t="shared" ca="1" si="116"/>
        <v/>
      </c>
      <c r="K137" s="42" t="str">
        <f t="shared" ca="1" si="116"/>
        <v/>
      </c>
      <c r="L137" s="42" t="str">
        <f t="shared" ca="1" si="116"/>
        <v/>
      </c>
      <c r="N137" s="139"/>
    </row>
    <row r="138" spans="1:14" x14ac:dyDescent="0.2">
      <c r="A138" t="str">
        <f>IF(A8="","","    "&amp;A8&amp;" - Release from Mead")</f>
        <v xml:space="preserve">    Nevada - Release from Mead</v>
      </c>
      <c r="C138" s="42" t="str">
        <f>IF(OR(C$28="",$A138=""),"",C102)</f>
        <v/>
      </c>
      <c r="D138" s="42" t="str">
        <f t="shared" ref="D138:G138" si="117">IF(OR(D$28="",$A138=""),"",D102)</f>
        <v/>
      </c>
      <c r="E138" s="42" t="str">
        <f t="shared" si="117"/>
        <v/>
      </c>
      <c r="F138" s="42" t="str">
        <f t="shared" si="117"/>
        <v/>
      </c>
      <c r="G138" s="42" t="str">
        <f t="shared" si="117"/>
        <v/>
      </c>
      <c r="H138" s="42" t="str">
        <f t="shared" ref="H138:L138" ca="1" si="118">IF(OR(H$28="",$A138=""),"",OFFSET(H$72,8*(ROW(G138)-ROW(G$135)),0))</f>
        <v/>
      </c>
      <c r="I138" s="42" t="str">
        <f t="shared" ca="1" si="118"/>
        <v/>
      </c>
      <c r="J138" s="42" t="str">
        <f t="shared" ca="1" si="118"/>
        <v/>
      </c>
      <c r="K138" s="42" t="str">
        <f t="shared" ca="1" si="118"/>
        <v/>
      </c>
      <c r="L138" s="42" t="str">
        <f t="shared" ca="1" si="118"/>
        <v/>
      </c>
      <c r="N138" s="139"/>
    </row>
    <row r="139" spans="1:14" x14ac:dyDescent="0.2">
      <c r="A139" t="str">
        <f>IF(A9="","","    "&amp;A9&amp;" - Release from Mead")</f>
        <v xml:space="preserve">    Mexico - Release from Mead</v>
      </c>
      <c r="C139" s="42" t="str">
        <f>IF(OR(C$28="",$A139=""),"",C112)</f>
        <v/>
      </c>
      <c r="D139" s="42" t="str">
        <f t="shared" ref="D139:G139" si="119">IF(OR(D$28="",$A139=""),"",D112)</f>
        <v/>
      </c>
      <c r="E139" s="42" t="str">
        <f t="shared" si="119"/>
        <v/>
      </c>
      <c r="F139" s="42" t="str">
        <f t="shared" si="119"/>
        <v/>
      </c>
      <c r="G139" s="42" t="str">
        <f t="shared" si="119"/>
        <v/>
      </c>
      <c r="H139" s="42" t="str">
        <f t="shared" ref="H139:L139" ca="1" si="120">IF(OR(H$28="",$A139=""),"",OFFSET(H$72,8*(ROW(G139)-ROW(G$135)),0))</f>
        <v/>
      </c>
      <c r="I139" s="42" t="str">
        <f t="shared" ca="1" si="120"/>
        <v/>
      </c>
      <c r="J139" s="42" t="str">
        <f t="shared" ca="1" si="120"/>
        <v/>
      </c>
      <c r="K139" s="42" t="str">
        <f t="shared" ca="1" si="120"/>
        <v/>
      </c>
      <c r="L139" s="42" t="str">
        <f t="shared" ca="1" si="120"/>
        <v/>
      </c>
      <c r="N139" s="139"/>
    </row>
    <row r="140" spans="1:14" x14ac:dyDescent="0.2">
      <c r="A140" t="str">
        <f>IF(A10="","","    "&amp;A10&amp;" - Release from Mead")</f>
        <v xml:space="preserve">    Tribal Nations of the Lower Basin - Release from Mead</v>
      </c>
      <c r="C140" s="42" t="str">
        <f>IF(OR(C$28="",$A140=""),"",C122)</f>
        <v/>
      </c>
      <c r="D140" s="42" t="str">
        <f t="shared" ref="D140:G140" si="121">IF(OR(D$28="",$A140=""),"",D122)</f>
        <v/>
      </c>
      <c r="E140" s="42" t="str">
        <f t="shared" si="121"/>
        <v/>
      </c>
      <c r="F140" s="42" t="str">
        <f t="shared" si="121"/>
        <v/>
      </c>
      <c r="G140" s="42" t="str">
        <f t="shared" si="121"/>
        <v/>
      </c>
      <c r="H140" s="42" t="str">
        <f t="shared" ref="H140:L140" ca="1" si="122">IF(OR(H$28="",$A140=""),"",OFFSET(H$72,8*(ROW(G140)-ROW(G$135)),0))</f>
        <v/>
      </c>
      <c r="I140" s="42" t="str">
        <f t="shared" ca="1" si="122"/>
        <v/>
      </c>
      <c r="J140" s="42" t="str">
        <f t="shared" ca="1" si="122"/>
        <v/>
      </c>
      <c r="K140" s="42" t="str">
        <f t="shared" ca="1" si="122"/>
        <v/>
      </c>
      <c r="L140" s="42" t="str">
        <f t="shared" ca="1" si="122"/>
        <v/>
      </c>
      <c r="N140" s="139"/>
    </row>
    <row r="141" spans="1:14" x14ac:dyDescent="0.2">
      <c r="A141" s="1" t="s">
        <v>252</v>
      </c>
      <c r="B141" s="1"/>
      <c r="C141" s="17"/>
      <c r="D141" s="2"/>
      <c r="E141" s="2"/>
      <c r="F141" s="2"/>
      <c r="G141" s="2"/>
      <c r="H141" s="2"/>
      <c r="I141" s="2"/>
      <c r="J141" s="2"/>
      <c r="K141" s="2"/>
      <c r="L141" s="2"/>
      <c r="N141" s="139"/>
    </row>
    <row r="142" spans="1:14" x14ac:dyDescent="0.2">
      <c r="A142" t="str">
        <f t="shared" ref="A142:A147" si="123">IF(A5="","","    "&amp;A5)</f>
        <v xml:space="preserve">    Reclamation - Protect Zone</v>
      </c>
      <c r="C142" s="42" t="str">
        <f>IF(OR(C$28="",$A142=""),"",C73)</f>
        <v/>
      </c>
      <c r="D142" s="42" t="str">
        <f t="shared" ref="D142:G142" si="124">IF(OR(D$28="",$A142=""),"",D73)</f>
        <v/>
      </c>
      <c r="E142" s="42" t="str">
        <f t="shared" si="124"/>
        <v/>
      </c>
      <c r="F142" s="42" t="str">
        <f t="shared" si="124"/>
        <v/>
      </c>
      <c r="G142" s="42" t="str">
        <f t="shared" si="124"/>
        <v/>
      </c>
      <c r="H142" s="42" t="str">
        <f t="shared" ref="H142:L142" ca="1" si="125">IF(OR(H$28="",$A142=""),"",OFFSET(H$73,8*(ROW(G142)-ROW(G$142)),0))</f>
        <v/>
      </c>
      <c r="I142" s="42" t="str">
        <f t="shared" ca="1" si="125"/>
        <v/>
      </c>
      <c r="J142" s="42" t="str">
        <f t="shared" ca="1" si="125"/>
        <v/>
      </c>
      <c r="K142" s="42" t="str">
        <f t="shared" ca="1" si="125"/>
        <v/>
      </c>
      <c r="L142" s="42" t="str">
        <f t="shared" ca="1" si="125"/>
        <v/>
      </c>
      <c r="N142" s="139"/>
    </row>
    <row r="143" spans="1:14" x14ac:dyDescent="0.2">
      <c r="A143" t="str">
        <f t="shared" si="123"/>
        <v xml:space="preserve">    California</v>
      </c>
      <c r="C143" s="42" t="str">
        <f>IF(OR(C$28="",$A143=""),"",C83)</f>
        <v/>
      </c>
      <c r="D143" s="42" t="str">
        <f t="shared" ref="D143:G143" si="126">IF(OR(D$28="",$A143=""),"",D83)</f>
        <v/>
      </c>
      <c r="E143" s="42" t="str">
        <f t="shared" si="126"/>
        <v/>
      </c>
      <c r="F143" s="42" t="str">
        <f t="shared" si="126"/>
        <v/>
      </c>
      <c r="G143" s="42" t="str">
        <f t="shared" si="126"/>
        <v/>
      </c>
      <c r="H143" s="42" t="str">
        <f t="shared" ref="H143:L143" ca="1" si="127">IF(OR(H$28="",$A143=""),"",OFFSET(H$73,8*(ROW(G143)-ROW(G$142)),0))</f>
        <v/>
      </c>
      <c r="I143" s="42" t="str">
        <f t="shared" ca="1" si="127"/>
        <v/>
      </c>
      <c r="J143" s="42" t="str">
        <f t="shared" ca="1" si="127"/>
        <v/>
      </c>
      <c r="K143" s="42" t="str">
        <f t="shared" ca="1" si="127"/>
        <v/>
      </c>
      <c r="L143" s="42" t="str">
        <f t="shared" ca="1" si="127"/>
        <v/>
      </c>
      <c r="N143" s="139"/>
    </row>
    <row r="144" spans="1:14" x14ac:dyDescent="0.2">
      <c r="A144" t="str">
        <f t="shared" si="123"/>
        <v xml:space="preserve">    Arizona</v>
      </c>
      <c r="C144" s="42" t="str">
        <f>IF(OR(C$28="",$A144=""),"",C93)</f>
        <v/>
      </c>
      <c r="D144" s="42" t="str">
        <f t="shared" ref="D144:G144" si="128">IF(OR(D$28="",$A144=""),"",D93)</f>
        <v/>
      </c>
      <c r="E144" s="42" t="str">
        <f t="shared" si="128"/>
        <v/>
      </c>
      <c r="F144" s="42" t="str">
        <f t="shared" si="128"/>
        <v/>
      </c>
      <c r="G144" s="42" t="str">
        <f t="shared" si="128"/>
        <v/>
      </c>
      <c r="H144" s="42" t="str">
        <f t="shared" ref="H144:L144" ca="1" si="129">IF(OR(H$28="",$A144=""),"",OFFSET(H$73,8*(ROW(G144)-ROW(G$142)),0))</f>
        <v/>
      </c>
      <c r="I144" s="42" t="str">
        <f t="shared" ca="1" si="129"/>
        <v/>
      </c>
      <c r="J144" s="42" t="str">
        <f t="shared" ca="1" si="129"/>
        <v/>
      </c>
      <c r="K144" s="42" t="str">
        <f t="shared" ca="1" si="129"/>
        <v/>
      </c>
      <c r="L144" s="42" t="str">
        <f t="shared" ca="1" si="129"/>
        <v/>
      </c>
      <c r="N144" s="139"/>
    </row>
    <row r="145" spans="1:14" x14ac:dyDescent="0.2">
      <c r="A145" t="str">
        <f t="shared" si="123"/>
        <v xml:space="preserve">    Nevada</v>
      </c>
      <c r="C145" s="42" t="str">
        <f>IF(OR(C$28="",$A145=""),"",C103)</f>
        <v/>
      </c>
      <c r="D145" s="42" t="str">
        <f t="shared" ref="D145:G145" si="130">IF(OR(D$28="",$A145=""),"",D103)</f>
        <v/>
      </c>
      <c r="E145" s="42" t="str">
        <f t="shared" si="130"/>
        <v/>
      </c>
      <c r="F145" s="42" t="str">
        <f t="shared" si="130"/>
        <v/>
      </c>
      <c r="G145" s="42" t="str">
        <f t="shared" si="130"/>
        <v/>
      </c>
      <c r="H145" s="42" t="str">
        <f t="shared" ref="H145:L145" ca="1" si="131">IF(OR(H$28="",$A145=""),"",OFFSET(H$73,8*(ROW(G145)-ROW(G$142)),0))</f>
        <v/>
      </c>
      <c r="I145" s="42" t="str">
        <f t="shared" ca="1" si="131"/>
        <v/>
      </c>
      <c r="J145" s="42" t="str">
        <f t="shared" ca="1" si="131"/>
        <v/>
      </c>
      <c r="K145" s="42" t="str">
        <f t="shared" ca="1" si="131"/>
        <v/>
      </c>
      <c r="L145" s="42" t="str">
        <f t="shared" ca="1" si="131"/>
        <v/>
      </c>
      <c r="N145" s="139"/>
    </row>
    <row r="146" spans="1:14" x14ac:dyDescent="0.2">
      <c r="A146" t="str">
        <f t="shared" si="123"/>
        <v xml:space="preserve">    Mexico</v>
      </c>
      <c r="C146" s="42" t="str">
        <f>IF(OR(C$28="",$A146=""),"",C113)</f>
        <v/>
      </c>
      <c r="D146" s="42" t="str">
        <f t="shared" ref="D146:G146" si="132">IF(OR(D$28="",$A146=""),"",D113)</f>
        <v/>
      </c>
      <c r="E146" s="42" t="str">
        <f t="shared" si="132"/>
        <v/>
      </c>
      <c r="F146" s="42" t="str">
        <f t="shared" si="132"/>
        <v/>
      </c>
      <c r="G146" s="42" t="str">
        <f t="shared" si="132"/>
        <v/>
      </c>
      <c r="H146" s="42" t="str">
        <f t="shared" ref="H146:L146" ca="1" si="133">IF(OR(H$28="",$A146=""),"",OFFSET(H$73,8*(ROW(G146)-ROW(G$142)),0))</f>
        <v/>
      </c>
      <c r="I146" s="42" t="str">
        <f t="shared" ca="1" si="133"/>
        <v/>
      </c>
      <c r="J146" s="42" t="str">
        <f t="shared" ca="1" si="133"/>
        <v/>
      </c>
      <c r="K146" s="42" t="str">
        <f t="shared" ca="1" si="133"/>
        <v/>
      </c>
      <c r="L146" s="42" t="str">
        <f t="shared" ca="1" si="133"/>
        <v/>
      </c>
      <c r="N146" s="139"/>
    </row>
    <row r="147" spans="1:14" x14ac:dyDescent="0.2">
      <c r="A147" t="str">
        <f t="shared" si="123"/>
        <v xml:space="preserve">    Tribal Nations of the Lower Basin</v>
      </c>
      <c r="C147" s="42" t="str">
        <f>IF(OR(C$28="",$A147=""),"",C123)</f>
        <v/>
      </c>
      <c r="D147" s="42" t="str">
        <f t="shared" ref="D147:G147" si="134">IF(OR(D$28="",$A147=""),"",D123)</f>
        <v/>
      </c>
      <c r="E147" s="42" t="str">
        <f t="shared" si="134"/>
        <v/>
      </c>
      <c r="F147" s="42" t="str">
        <f t="shared" si="134"/>
        <v/>
      </c>
      <c r="G147" s="42" t="str">
        <f t="shared" si="134"/>
        <v/>
      </c>
      <c r="H147" s="42" t="str">
        <f t="shared" ref="H147:L147" ca="1" si="135">IF(OR(H$28="",$A147=""),"",OFFSET(H$73,8*(ROW(G147)-ROW(G$142)),0))</f>
        <v/>
      </c>
      <c r="I147" s="42" t="str">
        <f t="shared" ca="1" si="135"/>
        <v/>
      </c>
      <c r="J147" s="42" t="str">
        <f t="shared" ca="1" si="135"/>
        <v/>
      </c>
      <c r="K147" s="42" t="str">
        <f t="shared" ca="1" si="135"/>
        <v/>
      </c>
      <c r="L147" s="42" t="str">
        <f t="shared" ca="1" si="135"/>
        <v/>
      </c>
      <c r="N147" s="139"/>
    </row>
    <row r="148" spans="1:14" x14ac:dyDescent="0.2">
      <c r="A148" s="1" t="s">
        <v>247</v>
      </c>
      <c r="C148" s="17"/>
      <c r="H148" s="12" t="str">
        <f t="shared" ref="H148:L148" si="136">IF(H$28&lt;&gt;"",SUM(H142:H147),"")</f>
        <v/>
      </c>
      <c r="I148" s="12" t="str">
        <f t="shared" si="136"/>
        <v/>
      </c>
      <c r="J148" s="12" t="str">
        <f t="shared" si="136"/>
        <v/>
      </c>
      <c r="K148" s="12" t="str">
        <f t="shared" si="136"/>
        <v/>
      </c>
      <c r="L148" s="12" t="str">
        <f t="shared" si="136"/>
        <v/>
      </c>
      <c r="N148" s="138" t="s">
        <v>294</v>
      </c>
    </row>
    <row r="149" spans="1:14" x14ac:dyDescent="0.2">
      <c r="A149" t="s">
        <v>248</v>
      </c>
      <c r="B149" s="1"/>
      <c r="C149" s="12" t="str">
        <f>IF(C$28&lt;&gt;"",SUM(C142:C147),"")</f>
        <v/>
      </c>
      <c r="D149" s="12" t="str">
        <f>IF(D$28&lt;&gt;"",SUM(D142:D147),"")</f>
        <v/>
      </c>
      <c r="E149" s="12" t="str">
        <f t="shared" ref="E149:G149" si="137">IF(E$28&lt;&gt;"",SUM(E142:E147),"")</f>
        <v/>
      </c>
      <c r="F149" s="12" t="str">
        <f t="shared" si="137"/>
        <v/>
      </c>
      <c r="G149" s="12" t="str">
        <f t="shared" si="137"/>
        <v/>
      </c>
      <c r="H149" s="12"/>
      <c r="I149" s="12"/>
      <c r="J149" s="12"/>
      <c r="K149" s="12"/>
      <c r="L149" s="12"/>
      <c r="N149" s="138"/>
    </row>
    <row r="150" spans="1:14" x14ac:dyDescent="0.2">
      <c r="A150" t="s">
        <v>249</v>
      </c>
      <c r="B150" s="1"/>
      <c r="C150" s="339" t="str">
        <f>IF(C$28&lt;&gt;"",VLOOKUP(C149*1000000,'Mead-Elevation-Area'!$B$5:$H$689,7),"")</f>
        <v/>
      </c>
      <c r="D150" s="204" t="str">
        <f>IF(D$28&lt;&gt;"",VLOOKUP(D149*1000000,'Mead-Elevation-Area'!$B$5:$H$689,7),"")</f>
        <v/>
      </c>
      <c r="E150" s="339" t="str">
        <f>IF(E$28&lt;&gt;"",VLOOKUP(E149*1000000,'Mead-Elevation-Area'!$B$5:$H$689,7),"")</f>
        <v/>
      </c>
      <c r="F150" s="204" t="str">
        <f>IF(F$28&lt;&gt;"",VLOOKUP(F149*1000000,'Mead-Elevation-Area'!$B$5:$H$689,7),"")</f>
        <v/>
      </c>
      <c r="G150" s="339" t="str">
        <f>IF(G$28&lt;&gt;"",VLOOKUP(G149*1000000,'Mead-Elevation-Area'!$B$5:$H$689,7),"")</f>
        <v/>
      </c>
      <c r="H150" s="12"/>
      <c r="I150" s="12"/>
      <c r="J150" s="12"/>
      <c r="K150" s="12"/>
      <c r="L150" s="12"/>
      <c r="N150" s="138"/>
    </row>
    <row r="151" spans="1:14" x14ac:dyDescent="0.2">
      <c r="A151" s="122" t="s">
        <v>250</v>
      </c>
      <c r="C151" s="17"/>
      <c r="N151" s="138" t="s">
        <v>153</v>
      </c>
    </row>
    <row r="153" spans="1:14" x14ac:dyDescent="0.2">
      <c r="D153"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2">
    <cfRule type="cellIs" dxfId="39" priority="100" operator="greaterThan">
      <formula>$C$81</formula>
    </cfRule>
  </conditionalFormatting>
  <conditionalFormatting sqref="C72:G72">
    <cfRule type="cellIs" dxfId="38" priority="41" operator="greaterThan">
      <formula>$C$70</formula>
    </cfRule>
  </conditionalFormatting>
  <conditionalFormatting sqref="C92:G92">
    <cfRule type="cellIs" dxfId="37" priority="90" operator="greaterThan">
      <formula>$C$91</formula>
    </cfRule>
  </conditionalFormatting>
  <conditionalFormatting sqref="C102:G102">
    <cfRule type="cellIs" dxfId="36" priority="6" operator="greaterThan">
      <formula>$C$91</formula>
    </cfRule>
  </conditionalFormatting>
  <conditionalFormatting sqref="C112:G112">
    <cfRule type="cellIs" dxfId="35" priority="4" operator="greaterThan">
      <formula>$C$91</formula>
    </cfRule>
  </conditionalFormatting>
  <conditionalFormatting sqref="C122:G122">
    <cfRule type="cellIs" dxfId="34" priority="2" operator="greaterThan">
      <formula>$C$91</formula>
    </cfRule>
  </conditionalFormatting>
  <conditionalFormatting sqref="D82">
    <cfRule type="cellIs" dxfId="33" priority="31" operator="greaterThan">
      <formula>$D$81</formula>
    </cfRule>
  </conditionalFormatting>
  <conditionalFormatting sqref="E82">
    <cfRule type="cellIs" dxfId="32" priority="22" operator="greaterThan">
      <formula>$E$81</formula>
    </cfRule>
  </conditionalFormatting>
  <conditionalFormatting sqref="F82">
    <cfRule type="cellIs" dxfId="31" priority="18" operator="greaterThan">
      <formula>$F$81</formula>
    </cfRule>
  </conditionalFormatting>
  <conditionalFormatting sqref="G82">
    <cfRule type="cellIs" dxfId="30" priority="12" operator="greaterThan">
      <formula>$G$81</formula>
    </cfRule>
  </conditionalFormatting>
  <conditionalFormatting sqref="H72">
    <cfRule type="cellIs" dxfId="29" priority="187" operator="greaterThan">
      <formula>$H$70</formula>
    </cfRule>
  </conditionalFormatting>
  <conditionalFormatting sqref="H82">
    <cfRule type="cellIs" dxfId="28" priority="170" operator="greaterThan">
      <formula>$H$81</formula>
    </cfRule>
  </conditionalFormatting>
  <conditionalFormatting sqref="H92">
    <cfRule type="cellIs" dxfId="27" priority="160" operator="greaterThan">
      <formula>$H$91</formula>
    </cfRule>
  </conditionalFormatting>
  <conditionalFormatting sqref="H112">
    <cfRule type="cellIs" dxfId="26" priority="149" operator="greaterThan">
      <formula>$H$111</formula>
    </cfRule>
  </conditionalFormatting>
  <conditionalFormatting sqref="H122">
    <cfRule type="cellIs" dxfId="25" priority="139" operator="greaterThan">
      <formula>$H$121</formula>
    </cfRule>
  </conditionalFormatting>
  <conditionalFormatting sqref="H102:L102">
    <cfRule type="cellIs" dxfId="24" priority="155" operator="greaterThan">
      <formula>$C$101</formula>
    </cfRule>
  </conditionalFormatting>
  <conditionalFormatting sqref="I72">
    <cfRule type="cellIs" dxfId="23" priority="186" operator="greaterThan">
      <formula>$I$70</formula>
    </cfRule>
  </conditionalFormatting>
  <conditionalFormatting sqref="I82">
    <cfRule type="cellIs" dxfId="22" priority="169" operator="greaterThan">
      <formula>$I$81</formula>
    </cfRule>
  </conditionalFormatting>
  <conditionalFormatting sqref="I92">
    <cfRule type="cellIs" dxfId="21" priority="159" operator="greaterThan">
      <formula>$I$91</formula>
    </cfRule>
  </conditionalFormatting>
  <conditionalFormatting sqref="I112">
    <cfRule type="cellIs" dxfId="20" priority="148" operator="greaterThan">
      <formula>$I$111</formula>
    </cfRule>
  </conditionalFormatting>
  <conditionalFormatting sqref="I122">
    <cfRule type="cellIs" dxfId="19" priority="138" operator="greaterThan">
      <formula>$I$121</formula>
    </cfRule>
  </conditionalFormatting>
  <conditionalFormatting sqref="J72">
    <cfRule type="cellIs" dxfId="18" priority="185" operator="greaterThan">
      <formula>$J$70</formula>
    </cfRule>
  </conditionalFormatting>
  <conditionalFormatting sqref="J82">
    <cfRule type="cellIs" dxfId="17" priority="168" operator="greaterThan">
      <formula>$J$81</formula>
    </cfRule>
  </conditionalFormatting>
  <conditionalFormatting sqref="J92">
    <cfRule type="cellIs" dxfId="16" priority="158" operator="greaterThan">
      <formula>$J$91</formula>
    </cfRule>
  </conditionalFormatting>
  <conditionalFormatting sqref="J112">
    <cfRule type="cellIs" dxfId="15" priority="147" operator="greaterThan">
      <formula>$J$111</formula>
    </cfRule>
  </conditionalFormatting>
  <conditionalFormatting sqref="J122">
    <cfRule type="cellIs" dxfId="14" priority="137" operator="greaterThan">
      <formula>$J$121</formula>
    </cfRule>
  </conditionalFormatting>
  <conditionalFormatting sqref="K72">
    <cfRule type="cellIs" dxfId="13" priority="184" operator="greaterThan">
      <formula>$K$70</formula>
    </cfRule>
  </conditionalFormatting>
  <conditionalFormatting sqref="K82">
    <cfRule type="cellIs" dxfId="12" priority="167" operator="greaterThan">
      <formula>$K$81</formula>
    </cfRule>
  </conditionalFormatting>
  <conditionalFormatting sqref="K92">
    <cfRule type="cellIs" dxfId="11" priority="157" operator="greaterThan">
      <formula>$K$91</formula>
    </cfRule>
  </conditionalFormatting>
  <conditionalFormatting sqref="K112">
    <cfRule type="cellIs" dxfId="10" priority="146" operator="greaterThan">
      <formula>$K$111</formula>
    </cfRule>
  </conditionalFormatting>
  <conditionalFormatting sqref="K122">
    <cfRule type="cellIs" dxfId="9" priority="136" operator="greaterThan">
      <formula>$K$121</formula>
    </cfRule>
  </conditionalFormatting>
  <conditionalFormatting sqref="L72">
    <cfRule type="cellIs" dxfId="8" priority="183" operator="greaterThan">
      <formula>$L$70</formula>
    </cfRule>
  </conditionalFormatting>
  <conditionalFormatting sqref="L82">
    <cfRule type="cellIs" dxfId="7" priority="166" operator="greaterThan">
      <formula>$L$81</formula>
    </cfRule>
  </conditionalFormatting>
  <conditionalFormatting sqref="L92">
    <cfRule type="cellIs" dxfId="6" priority="156" operator="greaterThan">
      <formula>$L$91</formula>
    </cfRule>
  </conditionalFormatting>
  <conditionalFormatting sqref="L112">
    <cfRule type="cellIs" dxfId="5" priority="145" operator="greaterThan">
      <formula>$L$111</formula>
    </cfRule>
  </conditionalFormatting>
  <conditionalFormatting sqref="L122">
    <cfRule type="cellIs" dxfId="4" priority="135" operator="greaterThan">
      <formula>$L$121</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9" r:id="rId18" location="iv-net-trade-volume-all-participants" xr:uid="{3E7AF6CA-1278-4129-B9E4-725FD18D820D}"/>
    <hyperlink ref="N70" r:id="rId19" location="v-available-water" xr:uid="{4566CC8F-1D0F-43BA-BAD8-C66179151606}"/>
    <hyperlink ref="N72" r:id="rId20" location="vi-enter-withdraw-within-available-water" xr:uid="{FA435611-F017-4A4C-84C0-3BC240C90BC3}"/>
    <hyperlink ref="N73" r:id="rId21" location="vii-end-of-year-balance" xr:uid="{43A45EF2-1AE7-497D-9090-A6710371091B}"/>
    <hyperlink ref="N125" r:id="rId22" location="step-6-summary-of-participant-actions" xr:uid="{39E9E91B-EE9B-4603-9A19-992E43688C4C}"/>
    <hyperlink ref="N148" r:id="rId23" location="lake-mead--end-of-year" xr:uid="{18709FDC-6FB8-4FF1-82C7-3E0140C4C207}"/>
    <hyperlink ref="N151" r:id="rId24" location="step-7-move-to-next-year" xr:uid="{0D1EBCA9-BE7F-441F-A17C-5330CFCE7596}"/>
    <hyperlink ref="N66"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5" r:id="rId30" location="step-5-participant-dashboards--conserve-consume-and-trade" xr:uid="{397FD8F0-2E30-496A-BE44-5B257A0157EE}"/>
    <hyperlink ref="N77" r:id="rId31" location="i-buy-or-sell-water-from-other-participantss" xr:uid="{E7375CF2-EC0F-401A-8AFE-0454313662AF}"/>
    <hyperlink ref="N85" r:id="rId32" location="step-5-participant-dashboards--conserve-consume-and-trade" xr:uid="{A70DB134-907F-477F-AB0B-5659C9C11813}"/>
    <hyperlink ref="N87" r:id="rId33" location="i-buy-or-sell-water-from-other-participantss" xr:uid="{BA50878C-D141-4CB0-B547-DD4E0AB28999}"/>
    <hyperlink ref="N95" r:id="rId34" location="step-5-participant-dashboards--conserve-consume-and-trade" xr:uid="{39EC330A-C201-45C3-99B6-B424E8A32D15}"/>
    <hyperlink ref="N97" r:id="rId35" location="i-buy-or-sell-water-from-other-participantss" xr:uid="{A5C5B388-17B6-437D-A672-71973A49D5E7}"/>
    <hyperlink ref="N105" r:id="rId36" location="step-5-participant-dashboards--conserve-consume-and-trade" xr:uid="{9D4E2F1A-09BE-48C9-9068-C731FDB7E63B}"/>
    <hyperlink ref="N107" r:id="rId37" location="i-buy-or-sell-water-from-other-participantss" xr:uid="{FAB9FF44-F4B9-4203-BBC6-8852F3D9A20B}"/>
    <hyperlink ref="N115" r:id="rId38" location="step-5-participant-dashboards--conserve-consume-and-trade" xr:uid="{E770BD7B-95C0-4128-95DC-F80C83C66E2B}"/>
    <hyperlink ref="N117" r:id="rId39" location="i-buy-or-sell-water-from-other-participantss" xr:uid="{0294E6B9-5E30-4F0F-A0BF-7C0B7042CF51}"/>
    <hyperlink ref="N67" r:id="rId40" location="ii-pricing" xr:uid="{07F90C0C-4BE8-9F47-949C-5E40835C4203}"/>
    <hyperlink ref="N68" r:id="rId41" location="iii-compensation" xr:uid="{8188F256-8CFE-A148-B33A-F63FA498AE19}"/>
    <hyperlink ref="N78" r:id="rId42" location="ii-pricing" xr:uid="{6862140C-DB0B-094D-94CA-31C03E1C1278}"/>
    <hyperlink ref="N88" r:id="rId43" location="ii-pricing" xr:uid="{4B1B7631-30FB-3C41-B91E-30EEFE05555F}"/>
    <hyperlink ref="N98" r:id="rId44" location="ii-pricing" xr:uid="{8AD6D0C6-AB1B-2446-9C13-FF7F035146C7}"/>
    <hyperlink ref="N108" r:id="rId45" location="ii-pricing" xr:uid="{A2F97124-4E15-E84A-B300-7F30089983C5}"/>
    <hyperlink ref="N118" r:id="rId46" location="ii-pricing" xr:uid="{CFFD471B-7401-A243-B9C4-DA53B683C616}"/>
    <hyperlink ref="N80" r:id="rId47" location="iv-net-trade-volume-all-participants" xr:uid="{9C7E75E9-E826-41E4-9184-7E4B309FDD50}"/>
    <hyperlink ref="N81" r:id="rId48" location="v-available-water" xr:uid="{1ACBE56A-5F8C-4E90-8D96-05CE9EED1A47}"/>
    <hyperlink ref="N82" r:id="rId49" location="vi-enter-withdraw-within-available-water" xr:uid="{EEA3AF55-9690-48AE-8079-B8C38467C08C}"/>
    <hyperlink ref="N83" r:id="rId50" location="vii-end-of-year-balance" xr:uid="{9781E9F6-28AD-4063-9862-8B90327890EF}"/>
    <hyperlink ref="N79" r:id="rId51" location="iii-compensation" xr:uid="{52757B67-D7E7-427B-B986-BE1C5FBEF153}"/>
    <hyperlink ref="N90" r:id="rId52" location="iv-net-trade-volume-all-participants" xr:uid="{DE4656C6-F8D3-4778-9F58-85135DFD0DC9}"/>
    <hyperlink ref="N91" r:id="rId53" location="v-available-water" xr:uid="{B5BB6540-A792-4536-8BDD-31B82F4BC44E}"/>
    <hyperlink ref="N92" r:id="rId54" location="vi-enter-withdraw-within-available-water" xr:uid="{8E1C6B64-6501-4BD7-B714-96738EA53634}"/>
    <hyperlink ref="N93" r:id="rId55" location="vii-end-of-year-balance" xr:uid="{199D1EB7-C4D3-4F33-8CD5-BECC43948EBA}"/>
    <hyperlink ref="N89" r:id="rId56" location="iii-compensation" xr:uid="{D71B7D4E-F1EF-4758-A6D6-E33D1033BF50}"/>
    <hyperlink ref="N100" r:id="rId57" location="iv-net-trade-volume-all-participants" xr:uid="{5378746B-C8BF-4736-89DF-5CDB6132BB8A}"/>
    <hyperlink ref="N101" r:id="rId58" location="v-available-water" xr:uid="{5045D881-74F4-4520-B448-704355E086CB}"/>
    <hyperlink ref="N102" r:id="rId59" location="vi-enter-withdraw-within-available-water" xr:uid="{61B46E76-E06C-491C-A6BC-73882FDA0E3B}"/>
    <hyperlink ref="N103" r:id="rId60" location="vii-end-of-year-balance" xr:uid="{71605A13-8231-4022-B245-AB73B97294E5}"/>
    <hyperlink ref="N99" r:id="rId61" location="iii-compensation" xr:uid="{4DE6BC54-CCE1-4F1E-A73F-37C962B178D3}"/>
    <hyperlink ref="N110" r:id="rId62" location="iv-net-trade-volume-all-participants" xr:uid="{D151D099-7F24-4E5B-B915-E71028B99DDB}"/>
    <hyperlink ref="N111" r:id="rId63" location="v-available-water" xr:uid="{A02489D6-06F1-4BE5-B127-9EB1146F9197}"/>
    <hyperlink ref="N112" r:id="rId64" location="vi-enter-withdraw-within-available-water" xr:uid="{CD1F609E-AF5E-487D-ACD3-EE1AA919A04D}"/>
    <hyperlink ref="N113" r:id="rId65" location="vii-end-of-year-balance" xr:uid="{978F6615-2034-4DC8-B778-E814A16C0267}"/>
    <hyperlink ref="N109" r:id="rId66" location="iii-compensation" xr:uid="{4AFAFA30-C835-4BD5-A293-40D476BF0557}"/>
    <hyperlink ref="N120" r:id="rId67" location="iv-net-trade-volume-all-participants" xr:uid="{99311102-6A54-4518-A868-1F7FA4895582}"/>
    <hyperlink ref="N121" r:id="rId68" location="v-available-water" xr:uid="{3515A232-E9F6-41D1-B871-0686FE9F4596}"/>
    <hyperlink ref="N122" r:id="rId69" location="vi-enter-withdraw-within-available-water" xr:uid="{132A2B10-B938-4360-82D8-102FBC746DD3}"/>
    <hyperlink ref="N123" r:id="rId70" location="vii-end-of-year-balance" xr:uid="{6373F7C3-B3A6-416C-82DB-9500DD0F1880}"/>
    <hyperlink ref="N119"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$C$81</xm:f>
              </x14:cfvo>
              <x14:cfvo type="num">
                <xm:f>$C$81</xm:f>
              </x14:cfvo>
              <x14:cfIcon iconSet="NoIcons" iconId="0"/>
              <x14:cfIcon iconSet="3Symbols2" iconId="0"/>
              <x14:cfIcon iconSet="3Symbols2" iconId="0"/>
            </x14:iconSet>
          </x14:cfRule>
          <xm:sqref>C82</xm:sqref>
        </x14:conditionalFormatting>
        <x14:conditionalFormatting xmlns:xm="http://schemas.microsoft.com/office/excel/2006/main">
          <x14:cfRule type="iconSet" priority="40" id="{67BD5567-B9E3-294F-8090-EF2E01062FB6}">
            <x14:iconSet iconSet="3Symbols2" custom="1">
              <x14:cfvo type="percent">
                <xm:f>0</xm:f>
              </x14:cfvo>
              <x14:cfvo type="num">
                <xm:f>$C$70</xm:f>
              </x14:cfvo>
              <x14:cfvo type="num">
                <xm:f>$C$70</xm:f>
              </x14:cfvo>
              <x14:cfIcon iconSet="NoIcons" iconId="0"/>
              <x14:cfIcon iconSet="3Symbols2" iconId="0"/>
              <x14:cfIcon iconSet="3Symbols2" iconId="0"/>
            </x14:iconSet>
          </x14:cfRule>
          <xm:sqref>C72:G72</xm:sqref>
        </x14:conditionalFormatting>
        <x14:conditionalFormatting xmlns:xm="http://schemas.microsoft.com/office/excel/2006/main">
          <x14:cfRule type="iconSet" priority="89" id="{99C3FE96-8001-7B4F-9CCB-D74A3EE27990}">
            <x14:iconSet iconSet="3Symbols" custom="1">
              <x14:cfvo type="percent">
                <xm:f>0</xm:f>
              </x14:cfvo>
              <x14:cfvo type="num">
                <xm:f>$C$91</xm:f>
              </x14:cfvo>
              <x14:cfvo type="num">
                <xm:f>$C$91</xm:f>
              </x14:cfvo>
              <x14:cfIcon iconSet="NoIcons" iconId="0"/>
              <x14:cfIcon iconSet="3Symbols2" iconId="0"/>
              <x14:cfIcon iconSet="3Symbols2" iconId="0"/>
            </x14:iconSet>
          </x14:cfRule>
          <xm:sqref>C92:G92</xm:sqref>
        </x14:conditionalFormatting>
        <x14:conditionalFormatting xmlns:xm="http://schemas.microsoft.com/office/excel/2006/main">
          <x14:cfRule type="iconSet" priority="5" id="{8BE61F95-23AB-D447-B42B-9156C2AB6BFE}">
            <x14:iconSet iconSet="3Symbols" custom="1">
              <x14:cfvo type="percent">
                <xm:f>0</xm:f>
              </x14:cfvo>
              <x14:cfvo type="num">
                <xm:f>$C$91</xm:f>
              </x14:cfvo>
              <x14:cfvo type="num">
                <xm:f>$C$91</xm:f>
              </x14:cfvo>
              <x14:cfIcon iconSet="NoIcons" iconId="0"/>
              <x14:cfIcon iconSet="3Symbols2" iconId="0"/>
              <x14:cfIcon iconSet="3Symbols2" iconId="0"/>
            </x14:iconSet>
          </x14:cfRule>
          <xm:sqref>C102:G102</xm:sqref>
        </x14:conditionalFormatting>
        <x14:conditionalFormatting xmlns:xm="http://schemas.microsoft.com/office/excel/2006/main">
          <x14:cfRule type="iconSet" priority="3" id="{91CD582D-6867-114D-97A4-814342EFE144}">
            <x14:iconSet iconSet="3Symbols" custom="1">
              <x14:cfvo type="percent">
                <xm:f>0</xm:f>
              </x14:cfvo>
              <x14:cfvo type="num">
                <xm:f>$C$91</xm:f>
              </x14:cfvo>
              <x14:cfvo type="num">
                <xm:f>$C$91</xm:f>
              </x14:cfvo>
              <x14:cfIcon iconSet="NoIcons" iconId="0"/>
              <x14:cfIcon iconSet="3Symbols2" iconId="0"/>
              <x14:cfIcon iconSet="3Symbols2" iconId="0"/>
            </x14:iconSet>
          </x14:cfRule>
          <xm:sqref>C112:G112</xm:sqref>
        </x14:conditionalFormatting>
        <x14:conditionalFormatting xmlns:xm="http://schemas.microsoft.com/office/excel/2006/main">
          <x14:cfRule type="iconSet" priority="1" id="{1DB5C01C-A394-BF43-A8D0-172701BB16FE}">
            <x14:iconSet iconSet="3Symbols" custom="1">
              <x14:cfvo type="percent">
                <xm:f>0</xm:f>
              </x14:cfvo>
              <x14:cfvo type="num">
                <xm:f>$C$91</xm:f>
              </x14:cfvo>
              <x14:cfvo type="num">
                <xm:f>$C$91</xm:f>
              </x14:cfvo>
              <x14:cfIcon iconSet="NoIcons" iconId="0"/>
              <x14:cfIcon iconSet="3Symbols2" iconId="0"/>
              <x14:cfIcon iconSet="3Symbols2" iconId="0"/>
            </x14:iconSet>
          </x14:cfRule>
          <xm:sqref>C122:G122</xm:sqref>
        </x14:conditionalFormatting>
        <x14:conditionalFormatting xmlns:xm="http://schemas.microsoft.com/office/excel/2006/main">
          <x14:cfRule type="iconSet" priority="51" id="{91D44B4A-8C25-1746-8718-8544A152DE08}">
            <x14:iconSet iconSet="3Symbols" custom="1">
              <x14:cfvo type="percent">
                <xm:f>0</xm:f>
              </x14:cfvo>
              <x14:cfvo type="num" gte="0">
                <xm:f>$D$81</xm:f>
              </x14:cfvo>
              <x14:cfvo type="num">
                <xm:f>$D$81</xm:f>
              </x14:cfvo>
              <x14:cfIcon iconSet="NoIcons" iconId="0"/>
              <x14:cfIcon iconSet="3Symbols2" iconId="0"/>
              <x14:cfIcon iconSet="3Symbols2" iconId="0"/>
            </x14:iconSet>
          </x14:cfRule>
          <xm:sqref>D82</xm:sqref>
        </x14:conditionalFormatting>
        <x14:conditionalFormatting xmlns:xm="http://schemas.microsoft.com/office/excel/2006/main">
          <x14:cfRule type="iconSet" priority="21" id="{8B0BB9B0-09E7-A840-9D64-16D722ED25F9}">
            <x14:iconSet custom="1">
              <x14:cfvo type="percent">
                <xm:f>0</xm:f>
              </x14:cfvo>
              <x14:cfvo type="num">
                <xm:f>$E$81</xm:f>
              </x14:cfvo>
              <x14:cfvo type="num">
                <xm:f>$E$81</xm:f>
              </x14:cfvo>
              <x14:cfIcon iconSet="NoIcons" iconId="0"/>
              <x14:cfIcon iconSet="3Symbols2" iconId="0"/>
              <x14:cfIcon iconSet="3Symbols2" iconId="0"/>
            </x14:iconSet>
          </x14:cfRule>
          <xm:sqref>E82</xm:sqref>
        </x14:conditionalFormatting>
        <x14:conditionalFormatting xmlns:xm="http://schemas.microsoft.com/office/excel/2006/main">
          <x14:cfRule type="iconSet" priority="17" id="{DD5AD040-6C8D-C449-9BAE-399A2BD193AF}">
            <x14:iconSet custom="1">
              <x14:cfvo type="percent">
                <xm:f>0</xm:f>
              </x14:cfvo>
              <x14:cfvo type="num">
                <xm:f>$F$81</xm:f>
              </x14:cfvo>
              <x14:cfvo type="num">
                <xm:f>$F$81</xm:f>
              </x14:cfvo>
              <x14:cfIcon iconSet="NoIcons" iconId="0"/>
              <x14:cfIcon iconSet="3Symbols2" iconId="0"/>
              <x14:cfIcon iconSet="3Symbols2" iconId="0"/>
            </x14:iconSet>
          </x14:cfRule>
          <xm:sqref>F82</xm:sqref>
        </x14:conditionalFormatting>
        <x14:conditionalFormatting xmlns:xm="http://schemas.microsoft.com/office/excel/2006/main">
          <x14:cfRule type="iconSet" priority="11" id="{96D22E39-A667-E445-9146-BFF7CB43E1E0}">
            <x14:iconSet custom="1">
              <x14:cfvo type="percent">
                <xm:f>0</xm:f>
              </x14:cfvo>
              <x14:cfvo type="num">
                <xm:f>$G$81</xm:f>
              </x14:cfvo>
              <x14:cfvo type="num">
                <xm:f>$G$81</xm:f>
              </x14:cfvo>
              <x14:cfIcon iconSet="NoIcons" iconId="0"/>
              <x14:cfIcon iconSet="3Symbols2" iconId="0"/>
              <x14:cfIcon iconSet="3Symbols2" iconId="0"/>
            </x14:iconSet>
          </x14:cfRule>
          <xm:sqref>G82</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H72</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I72</xm:sqref>
        </x14:conditionalFormatting>
        <x14:conditionalFormatting xmlns:xm="http://schemas.microsoft.com/office/excel/2006/main">
          <x14:cfRule type="iconSet" priority="177" id="{FC9241E0-399F-4612-9178-0FDDFFF0E42A}">
            <x14:iconSet iconSet="3Symbols2" custom="1">
              <x14:cfvo type="percent">
                <xm:f>0</xm:f>
              </x14:cfvo>
              <x14:cfvo type="num">
                <xm:f>$J$70</xm:f>
              </x14:cfvo>
              <x14:cfvo type="num">
                <xm:f>$J$70</xm:f>
              </x14:cfvo>
              <x14:cfIcon iconSet="NoIcons" iconId="0"/>
              <x14:cfIcon iconSet="3Symbols2" iconId="0"/>
              <x14:cfIcon iconSet="3Symbols2" iconId="0"/>
            </x14:iconSet>
          </x14:cfRule>
          <xm:sqref>J72</xm:sqref>
        </x14:conditionalFormatting>
        <x14:conditionalFormatting xmlns:xm="http://schemas.microsoft.com/office/excel/2006/main">
          <x14:cfRule type="iconSet" priority="176" id="{DD71F70E-9732-4C09-96AD-AC28A6D96762}">
            <x14:iconSet iconSet="3Symbols2" custom="1">
              <x14:cfvo type="percent">
                <xm:f>0</xm:f>
              </x14:cfvo>
              <x14:cfvo type="formula">
                <xm:f>$K$70</xm:f>
              </x14:cfvo>
              <x14:cfvo type="formula">
                <xm:f>$K$70</xm:f>
              </x14:cfvo>
              <x14:cfIcon iconSet="NoIcons" iconId="0"/>
              <x14:cfIcon iconSet="3Symbols2" iconId="0"/>
              <x14:cfIcon iconSet="3Symbols2" iconId="0"/>
            </x14:iconSet>
          </x14:cfRule>
          <xm:sqref>K72</xm:sqref>
        </x14:conditionalFormatting>
        <x14:conditionalFormatting xmlns:xm="http://schemas.microsoft.com/office/excel/2006/main">
          <x14:cfRule type="iconSet" priority="134" id="{C970D36A-412D-482A-B900-0C93FEFDE178}">
            <x14:iconSet iconSet="3Symbols" custom="1">
              <x14:cfvo type="percent">
                <xm:f>0</xm:f>
              </x14:cfvo>
              <x14:cfvo type="formula">
                <xm:f>$L$70</xm:f>
              </x14:cfvo>
              <x14:cfvo type="formula">
                <xm:f>$L$70</xm:f>
              </x14:cfvo>
              <x14:cfIcon iconSet="NoIcons" iconId="0"/>
              <x14:cfIcon iconSet="3Symbols2" iconId="0"/>
              <x14:cfIcon iconSet="3Symbols2" iconId="0"/>
            </x14:iconSet>
          </x14:cfRule>
          <xm:sqref>L72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38" t="s">
        <v>423</v>
      </c>
      <c r="J5" s="439"/>
      <c r="K5" s="439"/>
      <c r="L5" s="439"/>
      <c r="M5" s="439"/>
      <c r="N5" s="439"/>
      <c r="O5" s="439"/>
      <c r="P5" s="439"/>
      <c r="Q5" s="439"/>
      <c r="R5" s="439"/>
      <c r="S5" s="439"/>
      <c r="T5" s="439"/>
      <c r="U5" s="439"/>
      <c r="V5" s="439"/>
      <c r="W5" s="440"/>
      <c r="Y5" s="192"/>
      <c r="Z5" s="192"/>
      <c r="AA5" s="192"/>
      <c r="AB5" s="334"/>
    </row>
    <row r="6" spans="1:53" s="184" customFormat="1" ht="27.5" customHeight="1" x14ac:dyDescent="0.15">
      <c r="B6" s="427" t="s">
        <v>228</v>
      </c>
      <c r="C6" s="428"/>
      <c r="D6" s="428"/>
      <c r="E6" s="428"/>
      <c r="F6" s="428"/>
      <c r="G6" s="429"/>
      <c r="I6" s="441" t="s">
        <v>13</v>
      </c>
      <c r="J6" s="425" t="s">
        <v>409</v>
      </c>
      <c r="K6" s="425" t="s">
        <v>408</v>
      </c>
      <c r="L6" s="443" t="s">
        <v>215</v>
      </c>
      <c r="M6" s="444"/>
      <c r="N6" s="444"/>
      <c r="O6" s="444"/>
      <c r="P6" s="444"/>
      <c r="Q6" s="445"/>
      <c r="R6" s="430" t="s">
        <v>216</v>
      </c>
      <c r="S6" s="431"/>
      <c r="T6" s="431"/>
      <c r="U6" s="431"/>
      <c r="V6" s="431"/>
      <c r="W6" s="432"/>
      <c r="Y6" s="307"/>
      <c r="Z6" s="307"/>
      <c r="AA6" s="307"/>
      <c r="AB6" s="335"/>
    </row>
    <row r="7" spans="1:53" s="184" customFormat="1" ht="44" customHeight="1" x14ac:dyDescent="0.15">
      <c r="B7" s="193">
        <v>0</v>
      </c>
      <c r="C7" s="194">
        <v>0</v>
      </c>
      <c r="D7" s="194">
        <v>0</v>
      </c>
      <c r="E7" s="194">
        <v>0</v>
      </c>
      <c r="F7" s="194">
        <v>0</v>
      </c>
      <c r="G7" s="194">
        <f>SUM(C7:F7)</f>
        <v>0</v>
      </c>
      <c r="I7" s="442"/>
      <c r="J7" s="442"/>
      <c r="K7" s="442"/>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33" t="s">
        <v>237</v>
      </c>
      <c r="C10" s="433"/>
      <c r="D10" s="433"/>
      <c r="E10" s="433"/>
      <c r="F10" s="433"/>
      <c r="G10" s="433"/>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34" t="s">
        <v>235</v>
      </c>
      <c r="D16" s="435"/>
      <c r="E16" s="435"/>
      <c r="F16" s="435"/>
      <c r="G16" s="436"/>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37" t="s">
        <v>424</v>
      </c>
      <c r="J19" s="437"/>
      <c r="K19" s="437"/>
      <c r="L19" s="437"/>
      <c r="M19" s="437"/>
      <c r="N19" s="437"/>
      <c r="O19" s="437"/>
      <c r="P19" s="437"/>
      <c r="Q19" s="437"/>
      <c r="R19" s="437"/>
      <c r="S19" s="437"/>
      <c r="T19" s="437"/>
      <c r="U19" s="437"/>
      <c r="Z19" s="250"/>
      <c r="AA19" s="250"/>
      <c r="AB19" s="250"/>
      <c r="AC19" s="250"/>
    </row>
    <row r="20" spans="2:58" s="192" customFormat="1" ht="27" customHeight="1" x14ac:dyDescent="0.15">
      <c r="I20" s="425" t="s">
        <v>13</v>
      </c>
      <c r="J20" s="425" t="s">
        <v>213</v>
      </c>
      <c r="K20" s="425" t="s">
        <v>214</v>
      </c>
      <c r="L20" s="427" t="s">
        <v>215</v>
      </c>
      <c r="M20" s="428"/>
      <c r="N20" s="428"/>
      <c r="O20" s="428"/>
      <c r="P20" s="429"/>
      <c r="Q20" s="430" t="s">
        <v>216</v>
      </c>
      <c r="R20" s="431"/>
      <c r="S20" s="431"/>
      <c r="T20" s="431"/>
      <c r="U20" s="432"/>
      <c r="Z20" s="254"/>
      <c r="AA20" s="254"/>
      <c r="AB20" s="254"/>
      <c r="AC20" s="254"/>
    </row>
    <row r="21" spans="2:58" s="192" customFormat="1" ht="35" customHeight="1" x14ac:dyDescent="0.15">
      <c r="I21" s="426"/>
      <c r="J21" s="426"/>
      <c r="K21" s="426"/>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1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306</v>
      </c>
    </row>
    <row r="3" spans="1:14" x14ac:dyDescent="0.2">
      <c r="A3" s="1" t="s">
        <v>312</v>
      </c>
    </row>
    <row r="4" spans="1:14" ht="29" customHeight="1" x14ac:dyDescent="0.2">
      <c r="A4" s="218" t="s">
        <v>307</v>
      </c>
      <c r="B4" s="218" t="s">
        <v>308</v>
      </c>
      <c r="C4" s="219" t="s">
        <v>309</v>
      </c>
      <c r="D4" s="219" t="s">
        <v>310</v>
      </c>
      <c r="F4" s="219" t="s">
        <v>308</v>
      </c>
      <c r="G4" s="219" t="s">
        <v>317</v>
      </c>
      <c r="H4" s="219" t="s">
        <v>318</v>
      </c>
    </row>
    <row r="5" spans="1:14" x14ac:dyDescent="0.2">
      <c r="A5" s="22" t="s">
        <v>311</v>
      </c>
      <c r="B5" s="22" t="s">
        <v>204</v>
      </c>
      <c r="C5" s="23">
        <v>12534</v>
      </c>
      <c r="D5" s="23"/>
      <c r="F5" s="21" t="s">
        <v>204</v>
      </c>
      <c r="G5" s="30">
        <f>SUMIFS($C$5:$C$13,$B$5:$B$13,F5)</f>
        <v>12534</v>
      </c>
      <c r="H5" s="222">
        <f>G5/G$8</f>
        <v>1.3163339249519528E-2</v>
      </c>
    </row>
    <row r="6" spans="1:14" x14ac:dyDescent="0.2">
      <c r="A6" s="22" t="s">
        <v>311</v>
      </c>
      <c r="B6" s="22" t="s">
        <v>203</v>
      </c>
      <c r="C6" s="23">
        <v>103535</v>
      </c>
      <c r="D6" s="23"/>
      <c r="F6" s="21" t="s">
        <v>203</v>
      </c>
      <c r="G6" s="30">
        <f t="shared" ref="G6:G7" si="0">SUMIFS($C$5:$C$13,$B$5:$B$13,F6)</f>
        <v>783134</v>
      </c>
      <c r="H6" s="222">
        <f t="shared" ref="H6:H8" si="1">G6/G$8</f>
        <v>0.82245560234827086</v>
      </c>
    </row>
    <row r="7" spans="1:14" x14ac:dyDescent="0.2">
      <c r="A7" s="22" t="s">
        <v>311</v>
      </c>
      <c r="B7" s="22" t="s">
        <v>202</v>
      </c>
      <c r="C7" s="23">
        <v>16720</v>
      </c>
      <c r="D7" s="23"/>
      <c r="F7" s="21" t="s">
        <v>202</v>
      </c>
      <c r="G7" s="30">
        <f t="shared" si="0"/>
        <v>156522</v>
      </c>
      <c r="H7" s="222">
        <f t="shared" si="1"/>
        <v>0.16438105840220965</v>
      </c>
    </row>
    <row r="8" spans="1:14" x14ac:dyDescent="0.2">
      <c r="A8" s="22" t="s">
        <v>313</v>
      </c>
      <c r="B8" s="22" t="s">
        <v>202</v>
      </c>
      <c r="C8" s="23">
        <v>11340</v>
      </c>
      <c r="D8" s="23"/>
      <c r="F8" s="225" t="s">
        <v>25</v>
      </c>
      <c r="G8" s="223">
        <f>SUM(G5:G7)</f>
        <v>952190</v>
      </c>
      <c r="H8" s="224">
        <f t="shared" si="1"/>
        <v>1</v>
      </c>
    </row>
    <row r="9" spans="1:14" x14ac:dyDescent="0.2">
      <c r="A9" s="22" t="s">
        <v>314</v>
      </c>
      <c r="B9" s="22" t="s">
        <v>203</v>
      </c>
      <c r="C9" s="23">
        <v>662402</v>
      </c>
      <c r="D9" s="23"/>
    </row>
    <row r="10" spans="1:14" x14ac:dyDescent="0.2">
      <c r="A10" s="22" t="s">
        <v>314</v>
      </c>
      <c r="B10" s="22" t="s">
        <v>202</v>
      </c>
      <c r="C10" s="23">
        <v>56846</v>
      </c>
      <c r="D10" s="23"/>
      <c r="G10" s="248"/>
    </row>
    <row r="11" spans="1:14" x14ac:dyDescent="0.2">
      <c r="A11" s="22" t="s">
        <v>315</v>
      </c>
      <c r="B11" s="22" t="s">
        <v>203</v>
      </c>
      <c r="C11" s="23">
        <v>6350</v>
      </c>
      <c r="D11" s="23"/>
    </row>
    <row r="12" spans="1:14" x14ac:dyDescent="0.2">
      <c r="A12" s="22" t="s">
        <v>315</v>
      </c>
      <c r="B12" s="22" t="s">
        <v>202</v>
      </c>
      <c r="C12" s="23">
        <v>71616</v>
      </c>
      <c r="D12" s="23"/>
      <c r="I12" s="275"/>
      <c r="J12" s="275"/>
      <c r="K12" s="275"/>
      <c r="L12" s="275"/>
      <c r="M12" s="275"/>
      <c r="N12" s="275"/>
    </row>
    <row r="13" spans="1:14" x14ac:dyDescent="0.2">
      <c r="A13" s="22" t="s">
        <v>316</v>
      </c>
      <c r="B13" s="22" t="s">
        <v>203</v>
      </c>
      <c r="C13" s="23">
        <v>10847</v>
      </c>
      <c r="D13" s="23">
        <v>22928</v>
      </c>
    </row>
    <row r="14" spans="1:14" s="1" customFormat="1" x14ac:dyDescent="0.2">
      <c r="A14" s="220" t="s">
        <v>25</v>
      </c>
      <c r="B14" s="220"/>
      <c r="C14" s="221">
        <f>SUM(C5:C13)</f>
        <v>952190</v>
      </c>
      <c r="D14" s="221">
        <f>SUM(D5:D13)</f>
        <v>22928</v>
      </c>
    </row>
    <row r="17" spans="1:3" x14ac:dyDescent="0.2">
      <c r="A17" s="1" t="s">
        <v>319</v>
      </c>
    </row>
    <row r="18" spans="1:3" x14ac:dyDescent="0.2">
      <c r="A18" s="218" t="s">
        <v>320</v>
      </c>
      <c r="B18" s="226" t="s">
        <v>321</v>
      </c>
      <c r="C18" s="226" t="s">
        <v>322</v>
      </c>
    </row>
    <row r="19" spans="1:3" x14ac:dyDescent="0.2">
      <c r="A19" s="22" t="s">
        <v>323</v>
      </c>
      <c r="B19" s="23">
        <v>769208</v>
      </c>
      <c r="C19" s="23">
        <v>441381</v>
      </c>
    </row>
    <row r="20" spans="1:3" x14ac:dyDescent="0.2">
      <c r="A20" s="22" t="s">
        <v>324</v>
      </c>
      <c r="B20" s="23">
        <v>15340</v>
      </c>
      <c r="C20" s="23">
        <v>9017</v>
      </c>
    </row>
    <row r="21" spans="1:3" x14ac:dyDescent="0.2">
      <c r="A21" s="22" t="s">
        <v>325</v>
      </c>
      <c r="B21" s="23">
        <v>2844</v>
      </c>
      <c r="C21" s="23">
        <v>1698</v>
      </c>
    </row>
    <row r="22" spans="1:3" x14ac:dyDescent="0.2">
      <c r="A22" s="22" t="s">
        <v>326</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47" t="e">
        <f>#REF!</f>
        <v>#REF!</v>
      </c>
      <c r="B1" s="447"/>
      <c r="C1" s="447"/>
      <c r="D1" s="447"/>
      <c r="E1" s="447"/>
      <c r="F1" s="447"/>
      <c r="G1" s="447"/>
    </row>
    <row r="2" spans="1:14" x14ac:dyDescent="0.2">
      <c r="A2" s="1" t="s">
        <v>181</v>
      </c>
      <c r="B2" s="1"/>
    </row>
    <row r="3" spans="1:14" ht="32.25" customHeight="1" x14ac:dyDescent="0.2">
      <c r="A3" s="413" t="s">
        <v>177</v>
      </c>
      <c r="B3" s="413"/>
      <c r="C3" s="413"/>
      <c r="D3" s="413"/>
      <c r="E3" s="413"/>
      <c r="F3" s="413"/>
      <c r="G3" s="413"/>
      <c r="H3" s="82"/>
      <c r="I3" s="82"/>
      <c r="J3" s="82"/>
      <c r="K3" s="82"/>
      <c r="N3" s="134" t="s">
        <v>156</v>
      </c>
    </row>
    <row r="4" spans="1:14" x14ac:dyDescent="0.2">
      <c r="A4" s="124" t="s">
        <v>109</v>
      </c>
      <c r="B4" s="124" t="s">
        <v>19</v>
      </c>
      <c r="C4" s="414" t="s">
        <v>20</v>
      </c>
      <c r="D4" s="415"/>
      <c r="E4" s="415"/>
      <c r="F4" s="415"/>
      <c r="G4" s="416"/>
      <c r="N4" s="136" t="s">
        <v>128</v>
      </c>
    </row>
    <row r="5" spans="1:14" x14ac:dyDescent="0.2">
      <c r="A5" s="88" t="s">
        <v>16</v>
      </c>
      <c r="B5" s="111"/>
      <c r="C5" s="417"/>
      <c r="D5" s="412"/>
      <c r="E5" s="412"/>
      <c r="F5" s="412"/>
      <c r="G5" s="412"/>
      <c r="N5" s="139"/>
    </row>
    <row r="6" spans="1:14" x14ac:dyDescent="0.2">
      <c r="A6" s="88" t="s">
        <v>17</v>
      </c>
      <c r="B6" s="111"/>
      <c r="C6" s="417"/>
      <c r="D6" s="412"/>
      <c r="E6" s="412"/>
      <c r="F6" s="412"/>
      <c r="G6" s="412"/>
      <c r="N6" s="139"/>
    </row>
    <row r="7" spans="1:14" x14ac:dyDescent="0.2">
      <c r="A7" s="88" t="s">
        <v>18</v>
      </c>
      <c r="B7" s="111"/>
      <c r="C7" s="417"/>
      <c r="D7" s="412"/>
      <c r="E7" s="412"/>
      <c r="F7" s="412"/>
      <c r="G7" s="412"/>
      <c r="N7" s="139"/>
    </row>
    <row r="8" spans="1:14" x14ac:dyDescent="0.2">
      <c r="A8" s="111" t="s">
        <v>39</v>
      </c>
      <c r="B8" s="88"/>
      <c r="C8" s="412"/>
      <c r="D8" s="412"/>
      <c r="E8" s="412"/>
      <c r="F8" s="412"/>
      <c r="G8" s="412"/>
      <c r="N8" s="139"/>
    </row>
    <row r="9" spans="1:14" x14ac:dyDescent="0.2">
      <c r="A9" s="111" t="s">
        <v>162</v>
      </c>
      <c r="B9" s="88"/>
      <c r="C9" s="418"/>
      <c r="D9" s="418"/>
      <c r="E9" s="418"/>
      <c r="F9" s="418"/>
      <c r="G9" s="418"/>
      <c r="N9" s="139"/>
    </row>
    <row r="10" spans="1:14" x14ac:dyDescent="0.2">
      <c r="A10" s="112" t="s">
        <v>40</v>
      </c>
      <c r="B10" s="112"/>
      <c r="C10" s="446"/>
      <c r="D10" s="446"/>
      <c r="E10" s="446"/>
      <c r="F10" s="446"/>
      <c r="G10" s="446"/>
      <c r="N10" s="139"/>
    </row>
    <row r="11" spans="1:14" x14ac:dyDescent="0.2">
      <c r="A11" s="13"/>
      <c r="B11" s="2"/>
      <c r="C11"/>
      <c r="N11" s="139"/>
    </row>
    <row r="12" spans="1:14" x14ac:dyDescent="0.2">
      <c r="A12" s="15" t="s">
        <v>110</v>
      </c>
      <c r="B12" s="419" t="s">
        <v>112</v>
      </c>
      <c r="C12" s="420"/>
      <c r="D12" s="421"/>
      <c r="N12" s="138" t="s">
        <v>129</v>
      </c>
    </row>
    <row r="13" spans="1:14" x14ac:dyDescent="0.2">
      <c r="B13" s="422" t="s">
        <v>113</v>
      </c>
      <c r="C13" s="423"/>
      <c r="D13" s="424"/>
      <c r="N13" s="139"/>
    </row>
    <row r="14" spans="1:14" x14ac:dyDescent="0.2">
      <c r="B14" s="406" t="s">
        <v>114</v>
      </c>
      <c r="C14" s="407"/>
      <c r="D14" s="408"/>
      <c r="N14" s="139"/>
    </row>
    <row r="15" spans="1:14" x14ac:dyDescent="0.2">
      <c r="B15" s="409" t="s">
        <v>21</v>
      </c>
      <c r="C15" s="410"/>
      <c r="D15" s="411"/>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48" t="s">
        <v>59</v>
      </c>
      <c r="E3" s="448"/>
      <c r="F3" s="448" t="s">
        <v>60</v>
      </c>
      <c r="G3" s="448"/>
      <c r="H3" s="448"/>
      <c r="I3" s="448" t="s">
        <v>61</v>
      </c>
      <c r="J3" s="448"/>
      <c r="K3" s="448"/>
      <c r="L3" s="131"/>
      <c r="M3" s="448" t="s">
        <v>18</v>
      </c>
      <c r="N3" s="448"/>
      <c r="O3" s="448"/>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49" t="s">
        <v>116</v>
      </c>
      <c r="B3" s="449"/>
      <c r="C3" s="449"/>
      <c r="D3" s="125" t="s">
        <v>115</v>
      </c>
    </row>
    <row r="4" spans="1:4" ht="30" customHeight="1" x14ac:dyDescent="0.2">
      <c r="A4" s="450" t="s">
        <v>112</v>
      </c>
      <c r="B4" s="450"/>
      <c r="C4" s="450"/>
      <c r="D4" s="172" t="s">
        <v>182</v>
      </c>
    </row>
    <row r="5" spans="1:4" ht="48" x14ac:dyDescent="0.2">
      <c r="A5" s="454" t="s">
        <v>183</v>
      </c>
      <c r="B5" s="451"/>
      <c r="C5" s="451"/>
      <c r="D5" s="173" t="s">
        <v>201</v>
      </c>
    </row>
    <row r="6" spans="1:4" ht="57.5" customHeight="1" x14ac:dyDescent="0.2">
      <c r="A6" s="452" t="s">
        <v>184</v>
      </c>
      <c r="B6" s="452"/>
      <c r="C6" s="452"/>
      <c r="D6" s="174" t="s">
        <v>185</v>
      </c>
    </row>
    <row r="7" spans="1:4" ht="32" x14ac:dyDescent="0.2">
      <c r="A7" s="453" t="s">
        <v>21</v>
      </c>
      <c r="B7" s="453"/>
      <c r="C7" s="453"/>
      <c r="D7" s="175" t="s">
        <v>186</v>
      </c>
    </row>
    <row r="11" spans="1:4" x14ac:dyDescent="0.2">
      <c r="A11" s="450" t="s">
        <v>112</v>
      </c>
      <c r="B11" s="450"/>
      <c r="C11" s="450"/>
    </row>
    <row r="12" spans="1:4" x14ac:dyDescent="0.2">
      <c r="A12" s="451" t="s">
        <v>113</v>
      </c>
      <c r="B12" s="451"/>
      <c r="C12" s="451"/>
    </row>
    <row r="13" spans="1:4" x14ac:dyDescent="0.2">
      <c r="A13" s="452" t="s">
        <v>114</v>
      </c>
      <c r="B13" s="452"/>
      <c r="C13" s="452"/>
    </row>
    <row r="14" spans="1:4" x14ac:dyDescent="0.2">
      <c r="A14" s="453" t="s">
        <v>21</v>
      </c>
      <c r="B14" s="453"/>
      <c r="C14" s="453"/>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461</v>
      </c>
    </row>
    <row r="2" spans="1:6" x14ac:dyDescent="0.2">
      <c r="A2" t="s">
        <v>460</v>
      </c>
    </row>
    <row r="3" spans="1:6" ht="32" customHeight="1" x14ac:dyDescent="0.2">
      <c r="A3" s="36" t="s">
        <v>460</v>
      </c>
      <c r="B3" s="35" t="s">
        <v>459</v>
      </c>
      <c r="C3" s="35" t="s">
        <v>458</v>
      </c>
      <c r="D3" s="35" t="s">
        <v>457</v>
      </c>
      <c r="E3" s="35" t="s">
        <v>456</v>
      </c>
      <c r="F3" s="321"/>
    </row>
    <row r="4" spans="1:6" ht="17.5" customHeight="1" x14ac:dyDescent="0.2">
      <c r="A4" s="323" t="s">
        <v>447</v>
      </c>
      <c r="B4" s="322"/>
      <c r="C4" s="322"/>
      <c r="D4" s="322"/>
      <c r="E4" s="322"/>
      <c r="F4" s="321"/>
    </row>
    <row r="5" spans="1:6" ht="17.5" customHeight="1" x14ac:dyDescent="0.2">
      <c r="A5" s="319" t="s">
        <v>455</v>
      </c>
      <c r="B5" s="320"/>
      <c r="C5" s="320"/>
      <c r="D5" s="320"/>
      <c r="E5" s="319"/>
      <c r="F5" s="321"/>
    </row>
    <row r="6" spans="1:6" ht="17.5" customHeight="1" x14ac:dyDescent="0.2">
      <c r="A6" s="37" t="s">
        <v>454</v>
      </c>
      <c r="B6" s="38" t="s">
        <v>453</v>
      </c>
      <c r="C6" s="311">
        <v>0.17499999999999999</v>
      </c>
      <c r="D6" s="38" t="s">
        <v>452</v>
      </c>
      <c r="E6" s="309">
        <v>29.8</v>
      </c>
      <c r="F6" s="321"/>
    </row>
    <row r="7" spans="1:6" ht="17.5" customHeight="1" x14ac:dyDescent="0.2">
      <c r="A7" s="37" t="s">
        <v>450</v>
      </c>
      <c r="B7" s="38">
        <v>2023</v>
      </c>
      <c r="C7" s="311">
        <f>(2517+4633+15091+15571)/1000000</f>
        <v>3.7811999999999998E-2</v>
      </c>
      <c r="D7" s="38" t="s">
        <v>451</v>
      </c>
      <c r="E7" s="309">
        <f>0.992+1.205+5.344+8.335</f>
        <v>15.876000000000001</v>
      </c>
      <c r="F7" s="321"/>
    </row>
    <row r="8" spans="1:6" ht="17.5" customHeight="1" x14ac:dyDescent="0.2">
      <c r="A8" s="37" t="s">
        <v>450</v>
      </c>
      <c r="B8" s="38" t="s">
        <v>449</v>
      </c>
      <c r="C8" s="311">
        <v>2.2116E-2</v>
      </c>
      <c r="D8" s="38" t="s">
        <v>448</v>
      </c>
      <c r="E8" s="309">
        <v>4.5599999999999996</v>
      </c>
      <c r="F8" s="321"/>
    </row>
    <row r="9" spans="1:6" s="57" customFormat="1" x14ac:dyDescent="0.2">
      <c r="A9" s="319" t="s">
        <v>447</v>
      </c>
      <c r="B9" s="320"/>
      <c r="C9" s="320"/>
      <c r="D9" s="320"/>
      <c r="E9" s="319"/>
    </row>
    <row r="10" spans="1:6" s="57" customFormat="1" ht="16" x14ac:dyDescent="0.2">
      <c r="A10" s="37" t="s">
        <v>446</v>
      </c>
      <c r="B10" s="38" t="s">
        <v>445</v>
      </c>
      <c r="C10" s="311">
        <v>4.0999999999999996</v>
      </c>
      <c r="D10" s="38" t="s">
        <v>442</v>
      </c>
      <c r="E10" s="309" t="s">
        <v>442</v>
      </c>
      <c r="F10" s="318"/>
    </row>
    <row r="11" spans="1:6" s="57" customFormat="1" ht="16" x14ac:dyDescent="0.2">
      <c r="A11" s="37" t="s">
        <v>444</v>
      </c>
      <c r="B11" s="38" t="s">
        <v>443</v>
      </c>
      <c r="C11" s="311">
        <v>0.63121000000000005</v>
      </c>
      <c r="D11" s="38" t="s">
        <v>442</v>
      </c>
      <c r="E11" s="309" t="s">
        <v>442</v>
      </c>
      <c r="F11" s="318"/>
    </row>
    <row r="12" spans="1:6" s="56" customFormat="1" ht="16" x14ac:dyDescent="0.2">
      <c r="A12" s="317" t="s">
        <v>441</v>
      </c>
      <c r="B12" s="315"/>
      <c r="C12" s="316"/>
      <c r="D12" s="315"/>
      <c r="E12" s="314"/>
      <c r="F12" s="313"/>
    </row>
    <row r="13" spans="1:6" ht="16" x14ac:dyDescent="0.2">
      <c r="A13" s="37" t="s">
        <v>440</v>
      </c>
      <c r="B13" s="21">
        <v>2021</v>
      </c>
      <c r="C13" s="21" t="s">
        <v>437</v>
      </c>
      <c r="D13" s="38" t="s">
        <v>439</v>
      </c>
      <c r="E13" s="21" t="s">
        <v>437</v>
      </c>
    </row>
    <row r="14" spans="1:6" ht="16" x14ac:dyDescent="0.2">
      <c r="A14" s="37" t="s">
        <v>438</v>
      </c>
      <c r="B14" s="21">
        <v>2021</v>
      </c>
      <c r="C14" s="21" t="s">
        <v>437</v>
      </c>
      <c r="D14" s="312">
        <v>2000</v>
      </c>
      <c r="E14" s="21" t="s">
        <v>437</v>
      </c>
    </row>
    <row r="15" spans="1:6" ht="16" x14ac:dyDescent="0.2">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392</v>
      </c>
    </row>
    <row r="2" spans="1:20" ht="33" customHeight="1" x14ac:dyDescent="0.2">
      <c r="A2" s="455" t="s">
        <v>420</v>
      </c>
      <c r="B2" s="456"/>
      <c r="C2" s="456"/>
      <c r="D2" s="456"/>
      <c r="E2" s="456"/>
      <c r="F2" s="456"/>
      <c r="G2" s="456"/>
      <c r="H2" s="456"/>
      <c r="I2" s="456"/>
      <c r="J2" s="456"/>
      <c r="K2" s="456"/>
      <c r="L2" s="456"/>
      <c r="M2" s="456"/>
      <c r="N2" s="456"/>
      <c r="O2" s="456"/>
      <c r="P2" s="456"/>
      <c r="Q2" s="456"/>
      <c r="R2" s="456"/>
      <c r="S2" s="456"/>
      <c r="T2" s="456"/>
    </row>
    <row r="3" spans="1:20" ht="16" thickBot="1" x14ac:dyDescent="0.25"/>
    <row r="4" spans="1:20" ht="32" x14ac:dyDescent="0.2">
      <c r="A4" s="262" t="s">
        <v>351</v>
      </c>
      <c r="B4" s="263" t="s">
        <v>352</v>
      </c>
      <c r="C4" s="264" t="s">
        <v>419</v>
      </c>
      <c r="D4" s="265" t="s">
        <v>353</v>
      </c>
      <c r="E4" s="265" t="s">
        <v>354</v>
      </c>
      <c r="F4" s="265" t="s">
        <v>355</v>
      </c>
      <c r="G4" s="265" t="s">
        <v>356</v>
      </c>
      <c r="H4" s="265" t="s">
        <v>357</v>
      </c>
      <c r="I4" s="266" t="s">
        <v>358</v>
      </c>
    </row>
    <row r="5" spans="1:20" x14ac:dyDescent="0.2">
      <c r="A5" s="267" t="s">
        <v>359</v>
      </c>
      <c r="B5" s="237">
        <v>64</v>
      </c>
      <c r="C5">
        <v>0</v>
      </c>
      <c r="D5" s="2">
        <v>8</v>
      </c>
      <c r="E5">
        <v>122</v>
      </c>
      <c r="F5">
        <v>0</v>
      </c>
      <c r="G5">
        <v>0</v>
      </c>
      <c r="H5">
        <v>0</v>
      </c>
      <c r="I5" s="238">
        <f t="shared" ref="I5:I26" si="0">AVERAGE(F5:H5)</f>
        <v>0</v>
      </c>
    </row>
    <row r="6" spans="1:20" x14ac:dyDescent="0.2">
      <c r="A6" s="268" t="s">
        <v>360</v>
      </c>
      <c r="B6" s="237">
        <v>112</v>
      </c>
      <c r="C6" s="237">
        <v>11.6</v>
      </c>
      <c r="D6" s="2" t="s">
        <v>361</v>
      </c>
      <c r="E6">
        <v>81</v>
      </c>
      <c r="F6">
        <v>2.8</v>
      </c>
      <c r="G6">
        <v>4.7</v>
      </c>
      <c r="H6">
        <v>4.2</v>
      </c>
      <c r="I6" s="238">
        <f t="shared" si="0"/>
        <v>3.9</v>
      </c>
    </row>
    <row r="7" spans="1:20" x14ac:dyDescent="0.2">
      <c r="A7" s="268" t="s">
        <v>362</v>
      </c>
      <c r="B7" s="237">
        <v>100</v>
      </c>
      <c r="C7">
        <v>14.1</v>
      </c>
      <c r="D7" s="2" t="s">
        <v>361</v>
      </c>
      <c r="E7">
        <v>13</v>
      </c>
      <c r="F7">
        <v>10</v>
      </c>
      <c r="G7">
        <v>-1.3</v>
      </c>
      <c r="H7">
        <v>5.4</v>
      </c>
      <c r="I7" s="238">
        <f t="shared" si="0"/>
        <v>4.7</v>
      </c>
    </row>
    <row r="8" spans="1:20" x14ac:dyDescent="0.2">
      <c r="A8" s="268" t="s">
        <v>363</v>
      </c>
      <c r="B8" s="237">
        <v>97</v>
      </c>
      <c r="C8">
        <v>14.1</v>
      </c>
      <c r="D8" s="2" t="s">
        <v>364</v>
      </c>
      <c r="E8">
        <v>147</v>
      </c>
      <c r="F8">
        <v>3.8</v>
      </c>
      <c r="G8">
        <v>6.3</v>
      </c>
      <c r="H8">
        <v>4</v>
      </c>
      <c r="I8" s="238">
        <f t="shared" si="0"/>
        <v>4.7</v>
      </c>
      <c r="J8" s="270" t="s">
        <v>422</v>
      </c>
    </row>
    <row r="9" spans="1:20" x14ac:dyDescent="0.2">
      <c r="A9" s="268" t="s">
        <v>365</v>
      </c>
      <c r="B9" s="237">
        <v>112</v>
      </c>
      <c r="C9">
        <v>16.5</v>
      </c>
      <c r="D9" s="2" t="s">
        <v>366</v>
      </c>
      <c r="E9">
        <v>103</v>
      </c>
      <c r="F9">
        <v>5.9</v>
      </c>
      <c r="G9">
        <v>5.0999999999999996</v>
      </c>
      <c r="H9">
        <v>5.5</v>
      </c>
      <c r="I9" s="238">
        <f t="shared" si="0"/>
        <v>5.5</v>
      </c>
      <c r="J9" s="270" t="s">
        <v>421</v>
      </c>
    </row>
    <row r="10" spans="1:20" x14ac:dyDescent="0.2">
      <c r="A10" s="268" t="s">
        <v>367</v>
      </c>
      <c r="B10" s="237">
        <v>100</v>
      </c>
      <c r="C10">
        <v>16.600000000000001</v>
      </c>
      <c r="D10" s="2" t="s">
        <v>368</v>
      </c>
      <c r="E10">
        <v>26</v>
      </c>
      <c r="F10">
        <v>5.5</v>
      </c>
      <c r="G10">
        <v>5.5</v>
      </c>
      <c r="H10">
        <v>5.5</v>
      </c>
      <c r="I10" s="238">
        <f t="shared" si="0"/>
        <v>5.5</v>
      </c>
    </row>
    <row r="11" spans="1:20" x14ac:dyDescent="0.2">
      <c r="A11" s="268" t="s">
        <v>369</v>
      </c>
      <c r="B11" s="237">
        <v>112</v>
      </c>
      <c r="C11" s="237">
        <v>16.600000000000001</v>
      </c>
      <c r="D11" s="2" t="s">
        <v>361</v>
      </c>
      <c r="E11">
        <v>81</v>
      </c>
      <c r="F11">
        <v>3.8</v>
      </c>
      <c r="G11">
        <v>6.6</v>
      </c>
      <c r="H11">
        <v>6.1</v>
      </c>
      <c r="I11" s="238">
        <f t="shared" si="0"/>
        <v>5.5</v>
      </c>
      <c r="J11" s="270" t="s">
        <v>421</v>
      </c>
    </row>
    <row r="12" spans="1:20" x14ac:dyDescent="0.2">
      <c r="A12" s="268" t="s">
        <v>370</v>
      </c>
      <c r="B12" s="237">
        <v>100</v>
      </c>
      <c r="C12" s="237">
        <v>17.8</v>
      </c>
      <c r="D12" s="2" t="s">
        <v>371</v>
      </c>
      <c r="E12">
        <v>31</v>
      </c>
      <c r="F12">
        <v>5.9</v>
      </c>
      <c r="G12">
        <v>5.9</v>
      </c>
      <c r="H12">
        <v>5.9</v>
      </c>
      <c r="I12" s="238">
        <f t="shared" si="0"/>
        <v>5.9000000000000012</v>
      </c>
    </row>
    <row r="13" spans="1:20" x14ac:dyDescent="0.2">
      <c r="A13" s="268" t="s">
        <v>372</v>
      </c>
      <c r="B13" s="237">
        <v>100</v>
      </c>
      <c r="C13">
        <v>18</v>
      </c>
      <c r="D13" s="2" t="s">
        <v>373</v>
      </c>
      <c r="E13">
        <v>18</v>
      </c>
      <c r="F13">
        <v>11</v>
      </c>
      <c r="G13">
        <v>5.6</v>
      </c>
      <c r="H13">
        <v>8.1</v>
      </c>
      <c r="I13" s="238">
        <f t="shared" si="0"/>
        <v>8.2333333333333343</v>
      </c>
    </row>
    <row r="14" spans="1:20" x14ac:dyDescent="0.2">
      <c r="A14" s="268" t="s">
        <v>374</v>
      </c>
      <c r="B14" s="237">
        <v>112</v>
      </c>
      <c r="C14" s="237">
        <v>19.3</v>
      </c>
      <c r="D14" s="2" t="s">
        <v>361</v>
      </c>
      <c r="E14">
        <v>81</v>
      </c>
      <c r="F14">
        <v>4.4000000000000004</v>
      </c>
      <c r="G14">
        <v>7.8</v>
      </c>
      <c r="H14">
        <v>7.2</v>
      </c>
      <c r="I14" s="238">
        <f t="shared" si="0"/>
        <v>6.4666666666666659</v>
      </c>
    </row>
    <row r="15" spans="1:20" x14ac:dyDescent="0.2">
      <c r="A15" s="268" t="s">
        <v>375</v>
      </c>
      <c r="B15" s="237">
        <v>100</v>
      </c>
      <c r="C15">
        <v>20.399999999999999</v>
      </c>
      <c r="D15" s="2" t="s">
        <v>376</v>
      </c>
      <c r="E15">
        <v>48</v>
      </c>
      <c r="F15">
        <v>5.9</v>
      </c>
      <c r="G15">
        <v>5.9</v>
      </c>
      <c r="H15">
        <v>8.5</v>
      </c>
      <c r="I15" s="238">
        <f t="shared" si="0"/>
        <v>6.7666666666666666</v>
      </c>
    </row>
    <row r="16" spans="1:20" x14ac:dyDescent="0.2">
      <c r="A16" s="268" t="s">
        <v>377</v>
      </c>
      <c r="B16" s="237">
        <v>100</v>
      </c>
      <c r="C16" s="237">
        <v>20.399999999999999</v>
      </c>
      <c r="D16" s="2" t="s">
        <v>378</v>
      </c>
      <c r="E16">
        <v>45</v>
      </c>
      <c r="F16">
        <v>8.3000000000000007</v>
      </c>
      <c r="G16">
        <v>6.6</v>
      </c>
      <c r="H16">
        <v>5.5</v>
      </c>
      <c r="I16" s="238">
        <f t="shared" si="0"/>
        <v>6.8</v>
      </c>
    </row>
    <row r="17" spans="1:9" x14ac:dyDescent="0.2">
      <c r="A17" s="268" t="s">
        <v>379</v>
      </c>
      <c r="B17" s="237">
        <v>100</v>
      </c>
      <c r="C17" s="237">
        <v>20.5</v>
      </c>
      <c r="D17" s="2" t="s">
        <v>380</v>
      </c>
      <c r="E17">
        <v>2</v>
      </c>
      <c r="F17">
        <v>8.6</v>
      </c>
      <c r="G17">
        <v>5.9</v>
      </c>
      <c r="H17">
        <v>5.9</v>
      </c>
      <c r="I17" s="238">
        <f t="shared" si="0"/>
        <v>6.8</v>
      </c>
    </row>
    <row r="18" spans="1:9" x14ac:dyDescent="0.2">
      <c r="A18" s="268" t="s">
        <v>381</v>
      </c>
      <c r="B18" s="237">
        <v>1</v>
      </c>
      <c r="C18">
        <v>20.9</v>
      </c>
      <c r="D18" s="2" t="s">
        <v>371</v>
      </c>
      <c r="E18">
        <v>430</v>
      </c>
      <c r="F18">
        <v>6.4</v>
      </c>
      <c r="G18">
        <v>8.4</v>
      </c>
      <c r="H18">
        <v>6.1</v>
      </c>
      <c r="I18" s="238">
        <f t="shared" si="0"/>
        <v>6.9666666666666659</v>
      </c>
    </row>
    <row r="19" spans="1:9" x14ac:dyDescent="0.2">
      <c r="A19" s="268" t="s">
        <v>382</v>
      </c>
      <c r="B19" s="237">
        <v>1</v>
      </c>
      <c r="C19">
        <v>20.9</v>
      </c>
      <c r="D19" s="2" t="s">
        <v>371</v>
      </c>
      <c r="E19">
        <v>430</v>
      </c>
      <c r="F19">
        <v>6.4</v>
      </c>
      <c r="G19">
        <v>8.4</v>
      </c>
      <c r="H19">
        <v>6.1</v>
      </c>
      <c r="I19" s="238">
        <f t="shared" si="0"/>
        <v>6.9666666666666659</v>
      </c>
    </row>
    <row r="20" spans="1:9" x14ac:dyDescent="0.2">
      <c r="A20" s="268" t="s">
        <v>383</v>
      </c>
      <c r="B20" s="237">
        <v>112</v>
      </c>
      <c r="C20" s="237">
        <v>21.7</v>
      </c>
      <c r="D20" s="2" t="s">
        <v>361</v>
      </c>
      <c r="E20">
        <v>81</v>
      </c>
      <c r="F20">
        <v>4.9000000000000004</v>
      </c>
      <c r="G20">
        <v>8.6999999999999993</v>
      </c>
      <c r="H20">
        <v>8.1</v>
      </c>
      <c r="I20" s="238">
        <f t="shared" si="0"/>
        <v>7.2333333333333334</v>
      </c>
    </row>
    <row r="21" spans="1:9" x14ac:dyDescent="0.2">
      <c r="A21" s="268" t="s">
        <v>384</v>
      </c>
      <c r="B21" s="237">
        <v>112</v>
      </c>
      <c r="C21" s="237">
        <v>21.8</v>
      </c>
      <c r="D21" s="2" t="s">
        <v>361</v>
      </c>
      <c r="E21">
        <v>81</v>
      </c>
      <c r="F21">
        <v>5</v>
      </c>
      <c r="G21">
        <v>8.6999999999999993</v>
      </c>
      <c r="H21">
        <v>8.1</v>
      </c>
      <c r="I21" s="238">
        <f t="shared" si="0"/>
        <v>7.2666666666666657</v>
      </c>
    </row>
    <row r="22" spans="1:9" x14ac:dyDescent="0.2">
      <c r="A22" s="268" t="s">
        <v>385</v>
      </c>
      <c r="B22" s="237">
        <v>112</v>
      </c>
      <c r="C22" s="237">
        <v>24.2</v>
      </c>
      <c r="D22" s="2" t="s">
        <v>386</v>
      </c>
      <c r="E22">
        <v>80</v>
      </c>
      <c r="F22">
        <v>5.5</v>
      </c>
      <c r="G22">
        <v>9.6999999999999993</v>
      </c>
      <c r="H22">
        <v>9</v>
      </c>
      <c r="I22" s="238">
        <f t="shared" si="0"/>
        <v>8.0666666666666664</v>
      </c>
    </row>
    <row r="23" spans="1:9" x14ac:dyDescent="0.2">
      <c r="A23" s="268" t="s">
        <v>387</v>
      </c>
      <c r="B23" s="237">
        <v>100</v>
      </c>
      <c r="C23" s="237">
        <v>24.8</v>
      </c>
      <c r="D23" s="2" t="s">
        <v>388</v>
      </c>
      <c r="E23">
        <v>5</v>
      </c>
      <c r="F23">
        <v>8.4</v>
      </c>
      <c r="G23">
        <v>5.9</v>
      </c>
      <c r="H23">
        <v>10.5</v>
      </c>
      <c r="I23" s="238">
        <f t="shared" si="0"/>
        <v>8.2666666666666675</v>
      </c>
    </row>
    <row r="24" spans="1:9" x14ac:dyDescent="0.2">
      <c r="A24" s="268" t="s">
        <v>389</v>
      </c>
      <c r="B24" s="237">
        <v>1</v>
      </c>
      <c r="C24" s="237">
        <v>26.1</v>
      </c>
      <c r="D24" s="239" t="s">
        <v>371</v>
      </c>
      <c r="E24" s="237">
        <v>97</v>
      </c>
      <c r="F24" s="237">
        <v>5.9</v>
      </c>
      <c r="G24" s="237">
        <v>10.5</v>
      </c>
      <c r="H24" s="237">
        <v>9.6</v>
      </c>
      <c r="I24" s="238">
        <f t="shared" si="0"/>
        <v>8.6666666666666661</v>
      </c>
    </row>
    <row r="25" spans="1:9" x14ac:dyDescent="0.2">
      <c r="A25" s="268" t="s">
        <v>390</v>
      </c>
      <c r="B25" s="237">
        <v>1</v>
      </c>
      <c r="C25">
        <v>26.1</v>
      </c>
      <c r="D25" s="2" t="s">
        <v>371</v>
      </c>
      <c r="E25">
        <v>72</v>
      </c>
      <c r="F25">
        <v>5.9</v>
      </c>
      <c r="G25">
        <v>10.5</v>
      </c>
      <c r="H25">
        <v>9.6</v>
      </c>
      <c r="I25" s="238">
        <f t="shared" si="0"/>
        <v>8.6666666666666661</v>
      </c>
    </row>
    <row r="26" spans="1:9" ht="16" thickBot="1" x14ac:dyDescent="0.25">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C9312-1D6A-C146-B06E-16E6A54035B4}">
  <dimension ref="A1:F6"/>
  <sheetViews>
    <sheetView zoomScale="270" zoomScaleNormal="270" workbookViewId="0">
      <selection activeCell="A3" sqref="A3"/>
    </sheetView>
  </sheetViews>
  <sheetFormatPr baseColWidth="10" defaultRowHeight="15" x14ac:dyDescent="0.2"/>
  <cols>
    <col min="1" max="1" width="22.5" customWidth="1"/>
  </cols>
  <sheetData>
    <row r="1" spans="1:6" x14ac:dyDescent="0.2">
      <c r="B1" s="101" t="s">
        <v>0</v>
      </c>
      <c r="C1" s="101" t="s">
        <v>1</v>
      </c>
      <c r="D1" s="101" t="s">
        <v>2</v>
      </c>
      <c r="E1" s="101" t="s">
        <v>3</v>
      </c>
      <c r="F1" s="101" t="s">
        <v>4</v>
      </c>
    </row>
    <row r="2" spans="1:6" x14ac:dyDescent="0.2">
      <c r="A2" t="s">
        <v>481</v>
      </c>
      <c r="B2" s="95">
        <f>Master!$C$20</f>
        <v>0</v>
      </c>
      <c r="C2" s="95">
        <f>Master!$C$20</f>
        <v>0</v>
      </c>
      <c r="D2" s="95">
        <f>Master!$C$20</f>
        <v>0</v>
      </c>
      <c r="E2" s="95">
        <f>Master!$C$20</f>
        <v>0</v>
      </c>
      <c r="F2" s="95">
        <f>Master!$C$20</f>
        <v>0</v>
      </c>
    </row>
    <row r="3" spans="1:6" x14ac:dyDescent="0.2">
      <c r="A3" t="s">
        <v>482</v>
      </c>
      <c r="B3" s="95">
        <v>10.857008</v>
      </c>
      <c r="C3" s="95">
        <v>10.857008</v>
      </c>
      <c r="D3" s="95">
        <v>10.857008</v>
      </c>
      <c r="E3" s="95">
        <v>10.857008</v>
      </c>
      <c r="F3" s="95">
        <v>10.857008</v>
      </c>
    </row>
    <row r="4" spans="1:6" x14ac:dyDescent="0.2">
      <c r="A4" t="s">
        <v>483</v>
      </c>
      <c r="B4" s="95">
        <v>2.2231700000000001</v>
      </c>
      <c r="C4" s="95">
        <v>2.2231700000000001</v>
      </c>
      <c r="D4" s="95">
        <v>2.2231700000000001</v>
      </c>
      <c r="E4" s="95">
        <v>2.2231700000000001</v>
      </c>
      <c r="F4" s="95">
        <v>2.2231700000000001</v>
      </c>
    </row>
    <row r="5" spans="1:6" x14ac:dyDescent="0.2">
      <c r="A5" t="s">
        <v>484</v>
      </c>
      <c r="B5" s="95"/>
      <c r="C5" s="95"/>
      <c r="D5" s="95"/>
      <c r="E5" s="95"/>
      <c r="F5" s="95"/>
    </row>
    <row r="6" spans="1:6" x14ac:dyDescent="0.2">
      <c r="B6" s="95"/>
      <c r="C6" s="95"/>
      <c r="D6" s="95"/>
      <c r="E6" s="95"/>
      <c r="F6" s="9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Charts</vt:lpstr>
      </vt:variant>
      <vt:variant>
        <vt:i4>2</vt:i4>
      </vt:variant>
    </vt:vector>
  </HeadingPairs>
  <TitlesOfParts>
    <vt:vector size="15"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DynamicPlotData</vt:lpstr>
      <vt:lpstr>DynamicStoragePlot</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2026-09-02T20:37:07Z</dcterms:modified>
</cp:coreProperties>
</file>