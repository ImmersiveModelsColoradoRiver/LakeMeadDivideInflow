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0E27EC66-DD37-A44B-A760-FBC9FBA0AAA6}" xr6:coauthVersionLast="47" xr6:coauthVersionMax="47" xr10:uidLastSave="{00000000-0000-0000-0000-000000000000}"/>
  <bookViews>
    <workbookView xWindow="0" yWindow="500" windowWidth="28800" windowHeight="175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<sst xmlns="http://schemas.openxmlformats.org/spreadsheetml/2006/main" count="695" uniqueCount="484">
  <si>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</si>
  <si>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</si>
  <si>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</si>
  <si>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</si>
  <si>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</si>
  <si>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</si>
  <si>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</si>
  <si>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</si>
  <si>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</si>
  <si>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</si>
  <si>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</si>
  <si>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</si>
  <si>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</si>
  <si>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</si>
  <si>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</si>
  <si>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</si>
  <si>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</si>
  <si>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</si>
  <si>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</si>
  <si>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</si>
  <si>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</si>
  <si>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</si>
  <si>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</si>
  <si>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</si>
  <si>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</si>
  <si>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</si>
  <si>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</si>
  <si>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</si>
  <si>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</si>
  <si>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</si>
  <si>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</si>
  <si>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</si>
  <si>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</si>
  <si>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</si>
  <si>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</si>
  <si>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</si>
  <si>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</si>
  <si>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</si>
  <si>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</si>
  <si>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</si>
  <si>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</si>
  <si>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</si>
  <si>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</si>
  <si>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</si>
  <si>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</si>
  <si>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</si>
  <si>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</si>
  <si>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</si>
  <si>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</si>
  <si>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</si>
  <si>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</si>
  <si>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</si>
  <si>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</si>
  <si>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</si>
  <si>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</si>
  <si>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</si>
  <si>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</si>
  <si>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</si>
  <si>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</si>
  <si>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</si>
  <si>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</si>
  <si>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</si>
  <si>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</si>
  <si>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</si>
  <si>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</si>
  <si>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</si>
  <si>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</si>
  <si>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</si>
  <si>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</si>
  <si>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</si>
  <si>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</si>
  <si>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</si>
  <si>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</si>
  <si>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</si>
  <si>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</si>
  <si>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</si>
  <si>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</si>
  <si>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</si>
  <si>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</si>
  <si>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</si>
  <si>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</si>
  <si>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</si>
  <si>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</si>
  <si>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</si>
  <si>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</si>
  <si>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</si>
  <si>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</si>
  <si>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</si>
  <si>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</si>
  <si>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</si>
  <si>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</si>
  <si>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</si>
  <si>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</si>
  <si>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</si>
  <si>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</si>
  <si>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</si>
  <si>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</si>
  <si>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</si>
  <si>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</si>
  <si>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</si>
  <si>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</si>
  <si>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</si>
  <si>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</si>
  <si>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</si>
  <si>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</si>
  <si>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</si>
  <si>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</si>
  <si>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</si>
  <si>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</si>
  <si>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</si>
  <si>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</si>
  <si>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</si>
  <si>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</si>
  <si>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</si>
  <si>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</si>
  <si>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</si>
  <si>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</si>
  <si>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</si>
  <si>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</si>
  <si>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</si>
  <si>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</si>
  <si>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</si>
  <si>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</si>
  <si>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</si>
  <si>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</si>
  <si>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</si>
  <si>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</si>
  <si>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</si>
  <si>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</si>
  <si>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</si>
  <si>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</si>
  <si>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</si>
  <si>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</si>
  <si>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</si>
  <si>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</si>
  <si>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</si>
  <si>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</si>
  <si>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</si>
  <si>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</si>
  <si>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</si>
  <si>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</si>
  <si>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</si>
  <si>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</si>
  <si>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</si>
  <si>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</si>
  <si>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</si>
  <si>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</si>
  <si>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</si>
  <si>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</si>
  <si>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</si>
  <si>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</si>
  <si>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</si>
  <si>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</si>
  <si>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</si>
  <si>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</si>
  <si>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</si>
  <si>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</si>
  <si>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</si>
  <si>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</si>
  <si>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</si>
  <si>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</si>
  <si>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</si>
  <si>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</si>
  <si>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</si>
  <si>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</si>
  <si>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</si>
  <si>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</si>
  <si>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</si>
  <si>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</si>
  <si>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</si>
  <si>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</si>
  <si>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</si>
  <si>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</si>
  <si>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</si>
  <si>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</si>
  <si>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</si>
  <si>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</si>
  <si>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</si>
  <si>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</si>
  <si>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</si>
  <si>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</si>
  <si>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</si>
  <si>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</si>
  <si>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</si>
  <si>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</si>
  <si>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</si>
  <si>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</si>
  <si>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</si>
  <si>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</si>
  <si>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</si>
  <si>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</si>
  <si>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</si>
  <si>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</si>
  <si>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</si>
  <si>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</si>
  <si>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</si>
  <si>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</si>
  <si>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</si>
  <si>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</si>
  <si>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</si>
  <si>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</si>
  <si>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</si>
  <si>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</si>
  <si>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</si>
  <si>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</si>
  <si>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</si>
  <si>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</si>
  <si>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</si>
  <si>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</si>
  <si>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</si>
  <si>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</si>
  <si>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</si>
  <si>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</si>
  <si>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</si>
  <si>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</si>
  <si>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</si>
  <si>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</si>
  <si>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</si>
  <si>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</si>
  <si>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</si>
  <si>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</si>
  <si>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</si>
  <si>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</si>
  <si>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</si>
  <si>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</si>
  <si>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</si>
  <si>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</si>
  <si>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</si>
  <si>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</si>
  <si>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</si>
  <si>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</si>
  <si>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</si>
  <si>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</si>
  <si>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</si>
  <si>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</si>
  <si>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</si>
  <si>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</si>
  <si>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</si>
  <si>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</si>
  <si>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</si>
  <si>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</si>
  <si>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</si>
  <si>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</si>
  <si>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</si>
  <si>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</si>
  <si>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</si>
  <si>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</si>
  <si>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</si>
  <si>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</si>
  <si>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</si>
  <si>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</si>
  <si>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</si>
  <si>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</si>
  <si>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</si>
  <si>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</si>
  <si>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</si>
  <si>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</si>
  <si>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</si>
  <si>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</si>
  <si>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</si>
  <si>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</si>
  <si>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</si>
  <si>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</si>
  <si>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</si>
  <si>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</si>
  <si>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</si>
  <si>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</si>
  <si>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</si>
  <si>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</si>
  <si>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</si>
  <si>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</si>
  <si>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</si>
  <si>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</si>
  <si>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</si>
  <si>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</si>
  <si>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</si>
  <si>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</si>
  <si>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</si>
  <si>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</si>
  <si>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</si>
  <si>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</si>
  <si>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</si>
  <si>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</si>
  <si>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</si>
  <si>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</si>
  <si>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</si>
  <si>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</si>
  <si>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</si>
  <si>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</si>
  <si>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</si>
  <si>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</si>
  <si>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</si>
  <si>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</si>
  <si>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</si>
  <si>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</si>
  <si>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</si>
  <si>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</si>
  <si>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</si>
  <si>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</si>
  <si>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</si>
  <si>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</si>
  <si>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</si>
  <si>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</si>
  <si>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</si>
  <si>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</si>
  <si>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</si>
  <si>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</si>
  <si>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</si>
  <si>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</si>
  <si>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</si>
  <si>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</si>
  <si>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</si>
  <si>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</si>
  <si>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</si>
  <si>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</si>
  <si>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</si>
  <si>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</si>
  <si>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</si>
  <si>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</si>
  <si>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</si>
  <si>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</si>
  <si>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</si>
  <si>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</si>
  <si>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</si>
  <si>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</si>
  <si>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</si>
  <si>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</si>
  <si>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</si>
  <si>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</si>
  <si>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</si>
  <si>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</si>
  <si>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</si>
  <si>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</si>
  <si>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</si>
  <si>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</si>
  <si>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</si>
  <si>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</si>
  <si>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</si>
  <si>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</si>
  <si>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</si>
  <si>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</si>
  <si>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</si>
  <si>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</si>
  <si>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</si>
  <si>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</si>
  <si>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</si>
  <si>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</si>
  <si>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</si>
  <si>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</si>
  <si>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</si>
  <si>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</si>
  <si>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</si>
  <si>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</si>
  <si>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</si>
  <si>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</si>
  <si>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</si>
  <si>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</si>
  <si>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</si>
  <si>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</si>
  <si>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</si>
  <si>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</si>
  <si>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</si>
  <si>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</si>
  <si>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</si>
  <si>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</si>
  <si>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</si>
  <si>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</si>
  <si>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</si>
  <si>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</si>
  <si>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</si>
  <si>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</si>
  <si>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</si>
  <si>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</si>
  <si>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</si>
  <si>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</si>
  <si>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</si>
  <si>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</si>
  <si>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</si>
  <si>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</si>
  <si>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</si>
  <si>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</si>
  <si>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</si>
  <si>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</si>
  <si>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</si>
  <si>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</si>
  <si>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</si>
  <si>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</si>
  <si>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</si>
  <si>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</si>
  <si>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</si>
  <si>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</si>
  <si>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</si>
  <si>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</si>
  <si>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</si>
  <si>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</si>
  <si>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</si>
  <si>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</si>
  <si>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</si>
  <si>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</si>
  <si>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</si>
  <si>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</si>
  <si>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</si>
  <si>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</si>
  <si>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</si>
  <si>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</si>
  <si>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</si>
  <si>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</si>
  <si>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</si>
  <si>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</si>
  <si>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</si>
  <si>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</si>
  <si>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</si>
  <si>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</si>
  <si>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</si>
  <si>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</si>
  <si>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</si>
  <si>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</si>
  <si>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</si>
  <si>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</si>
  <si>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</si>
  <si>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</si>
  <si>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</si>
  <si>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</si>
  <si>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</si>
  <si>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</si>
  <si>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</si>
  <si>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</si>
  <si>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</si>
  <si>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</si>
  <si>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</si>
  <si>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</si>
  <si>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</si>
  <si>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</si>
  <si>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</si>
  <si>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</si>
  <si>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</si>
  <si>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</si>
  <si>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</si>
  <si>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</si>
  <si>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</si>
  <si>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</si>
  <si>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</si>
  <si>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</si>
  <si>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</si>
  <si>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</si>
  <si>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</si>
  <si>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</si>
  <si>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</si>
  <si>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</si>
  <si>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</si>
  <si>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</si>
  <si>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</si>
  <si>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</si>
  <si>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</si>
  <si>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</si>
  <si>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</si>
  <si>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</si>
  <si>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</si>
  <si>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</si>
  <si>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</si>
  <si>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</si>
  <si>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</si>
  <si>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</si>
  <si>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</si>
  <si>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</si>
  <si>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</si>
  <si>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</si>
  <si>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</si>
  <si>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</si>
  <si>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</si>
  <si>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</si>
  <si>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</si>
  <si>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</si>
  <si>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</si>
  <si>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</si>
  <si>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Brittany Fager</t>
  </si>
  <si>
    <t>brittany.fager@usu.edu</t>
  </si>
  <si>
    <t>1.9.2</t>
  </si>
  <si>
    <r>
      <t xml:space="preserve">    2)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</si>
  <si>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t xml:space="preserve">    3) Provoke thought and discussion to:</t>
  </si>
  <si>
    <t xml:space="preserve">    1) To improve NOAA tools to communicate and manage risks of water shortages.</t>
  </si>
  <si>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</si>
  <si>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three purposes:</t>
    </r>
  </si>
  <si>
    <t>Added Key Idea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</si>
</sst>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8">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5" xfId="0" applyFont="1"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406644</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33422</xdr:colOff>
      <xdr:row>14</xdr:row>
      <xdr:rowOff>2037</xdr:rowOff>
    </xdr:from>
    <xdr:to>
      <xdr:col>3</xdr:col>
      <xdr:colOff>367633</xdr:colOff>
      <xdr:row>14</xdr:row>
      <xdr:rowOff>2219156</xdr:rowOff>
    </xdr:to>
    <xdr:pic>
      <xdr:nvPicPr>
        <xdr:cNvPr id="6" name="Picture 5">
          <a:extLst>
            <a:ext uri="{FF2B5EF4-FFF2-40B4-BE49-F238E27FC236}">
              <a16:creationId xmlns:a16="http://schemas.microsoft.com/office/drawing/2014/main" id="{B9920E42-07A6-BAFA-72D4-58171CF40DDE}"/>
            </a:ext>
          </a:extLst>
        </xdr:cNvPr>
        <xdr:cNvPicPr>
          <a:picLocks noChangeAspect="1"/>
        </xdr:cNvPicPr>
      </xdr:nvPicPr>
      <xdr:blipFill rotWithShape="1">
        <a:blip xmlns:r="http://schemas.openxmlformats.org/officeDocument/2006/relationships" r:embed="rId2"/>
        <a:srcRect l="5266" t="2534" r="1423" b="7416"/>
        <a:stretch/>
      </xdr:blipFill>
      <xdr:spPr>
        <a:xfrm>
          <a:off x="300790" y="6057932"/>
          <a:ext cx="3215106" cy="2217119"/>
        </a:xfrm>
        <a:prstGeom prst="rect">
          <a:avLst/>
        </a:prstGeom>
        <a:ln w="12700">
          <a:solidFill>
            <a:schemeClr val="tx1"/>
          </a:solidFill>
        </a:ln>
      </xdr:spPr>
    </xdr:pic>
    <xdr:clientData/>
  </xdr:twoCellAnchor>
  <xdr:twoCellAnchor editAs="oneCell">
    <xdr:from>
      <xdr:col>1</xdr:col>
      <xdr:colOff>9769</xdr:colOff>
      <xdr:row>11</xdr:row>
      <xdr:rowOff>605693</xdr:rowOff>
    </xdr:from>
    <xdr:to>
      <xdr:col>5</xdr:col>
      <xdr:colOff>70221</xdr:colOff>
      <xdr:row>12</xdr:row>
      <xdr:rowOff>2427654</xdr:rowOff>
    </xdr:to>
    <xdr:pic>
      <xdr:nvPicPr>
        <xdr:cNvPr id="2" name="Picture 1">
          <a:extLst>
            <a:ext uri="{FF2B5EF4-FFF2-40B4-BE49-F238E27FC236}">
              <a16:creationId xmlns:a16="http://schemas.microsoft.com/office/drawing/2014/main" id="{434A8A38-C447-049F-82C0-23B5FF43D938}"/>
            </a:ext>
          </a:extLst>
        </xdr:cNvPr>
        <xdr:cNvPicPr>
          <a:picLocks noChangeAspect="1"/>
        </xdr:cNvPicPr>
      </xdr:nvPicPr>
      <xdr:blipFill>
        <a:blip xmlns:r="http://schemas.openxmlformats.org/officeDocument/2006/relationships" r:embed="rId3"/>
        <a:stretch>
          <a:fillRect/>
        </a:stretch>
      </xdr:blipFill>
      <xdr:spPr>
        <a:xfrm>
          <a:off x="273538" y="3350847"/>
          <a:ext cx="4056068" cy="2456961"/>
        </a:xfrm>
        <a:prstGeom prst="rect">
          <a:avLst/>
        </a:prstGeom>
        <a:ln w="1270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4"/>
  <sheetViews>
    <sheetView tabSelected="1" topLeftCell="A12" zoomScale="130" zoomScaleNormal="130" workbookViewId="0">
      <selection activeCell="O13" sqref="O13"/>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1" t="s">
        <v>294</v>
      </c>
      <c r="B1" s="371"/>
      <c r="C1" s="371"/>
      <c r="D1" s="371"/>
      <c r="E1" s="371"/>
      <c r="F1" s="371"/>
      <c r="G1" s="371"/>
      <c r="H1" s="371"/>
      <c r="I1" s="371"/>
      <c r="J1" s="371"/>
      <c r="K1" s="371"/>
      <c r="L1" s="371"/>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2" t="s">
        <v>482</v>
      </c>
      <c r="B4" s="373"/>
      <c r="C4" s="373"/>
      <c r="D4" s="373"/>
      <c r="E4" s="373"/>
      <c r="F4" s="373"/>
      <c r="G4" s="373"/>
      <c r="H4" s="373"/>
      <c r="I4" s="373"/>
      <c r="J4" s="373"/>
      <c r="K4" s="373"/>
      <c r="L4" s="374"/>
      <c r="N4" s="375"/>
      <c r="O4" s="375"/>
      <c r="P4" s="375"/>
      <c r="Q4" s="375"/>
      <c r="R4" s="375"/>
    </row>
    <row r="5" spans="1:18" s="52" customFormat="1" ht="17" customHeight="1" x14ac:dyDescent="0.2">
      <c r="A5" s="350" t="s">
        <v>480</v>
      </c>
      <c r="B5" s="351"/>
      <c r="C5" s="351"/>
      <c r="D5" s="351"/>
      <c r="E5" s="351"/>
      <c r="F5" s="351"/>
      <c r="G5" s="351"/>
      <c r="H5" s="351"/>
      <c r="I5" s="351"/>
      <c r="J5" s="351"/>
      <c r="K5" s="351"/>
      <c r="L5" s="352"/>
      <c r="N5" s="110"/>
      <c r="O5" s="110"/>
      <c r="P5" s="110"/>
      <c r="Q5" s="110"/>
      <c r="R5" s="110"/>
    </row>
    <row r="6" spans="1:18" s="52" customFormat="1" ht="30" customHeight="1" x14ac:dyDescent="0.2">
      <c r="A6" s="350" t="s">
        <v>478</v>
      </c>
      <c r="B6" s="351"/>
      <c r="C6" s="351"/>
      <c r="D6" s="351"/>
      <c r="E6" s="351"/>
      <c r="F6" s="351"/>
      <c r="G6" s="351"/>
      <c r="H6" s="351"/>
      <c r="I6" s="351"/>
      <c r="J6" s="351"/>
      <c r="K6" s="351"/>
      <c r="L6" s="352"/>
      <c r="N6" s="110"/>
      <c r="O6" s="110"/>
      <c r="P6" s="110"/>
      <c r="Q6" s="110"/>
      <c r="R6" s="110"/>
    </row>
    <row r="7" spans="1:18" s="52" customFormat="1" ht="14" customHeight="1" x14ac:dyDescent="0.2">
      <c r="A7" s="350" t="s">
        <v>479</v>
      </c>
      <c r="B7" s="351"/>
      <c r="C7" s="351"/>
      <c r="D7" s="351"/>
      <c r="E7" s="351"/>
      <c r="F7" s="351"/>
      <c r="G7" s="351"/>
      <c r="H7" s="351"/>
      <c r="I7" s="351"/>
      <c r="J7" s="351"/>
      <c r="K7" s="351"/>
      <c r="L7" s="352"/>
      <c r="N7" s="110"/>
      <c r="O7" s="110"/>
      <c r="P7" s="110"/>
      <c r="Q7" s="110"/>
      <c r="R7" s="110"/>
    </row>
    <row r="8" spans="1:18" s="52" customFormat="1" ht="14" customHeight="1" x14ac:dyDescent="0.2">
      <c r="A8" s="214"/>
      <c r="B8" s="351" t="s">
        <v>295</v>
      </c>
      <c r="C8" s="351"/>
      <c r="D8" s="351"/>
      <c r="E8" s="351"/>
      <c r="F8" s="351"/>
      <c r="G8" s="351"/>
      <c r="H8" s="351"/>
      <c r="I8" s="351"/>
      <c r="J8" s="351"/>
      <c r="K8" s="351"/>
      <c r="L8" s="352"/>
      <c r="N8" s="110"/>
      <c r="O8" s="110"/>
      <c r="P8" s="110"/>
      <c r="Q8" s="110"/>
      <c r="R8" s="110"/>
    </row>
    <row r="9" spans="1:18" s="52" customFormat="1" ht="14" customHeight="1" x14ac:dyDescent="0.2">
      <c r="A9" s="215"/>
      <c r="B9" s="366" t="s">
        <v>296</v>
      </c>
      <c r="C9" s="366"/>
      <c r="D9" s="366"/>
      <c r="E9" s="366"/>
      <c r="F9" s="366"/>
      <c r="G9" s="366"/>
      <c r="H9" s="366"/>
      <c r="I9" s="366"/>
      <c r="J9" s="366"/>
      <c r="K9" s="366"/>
      <c r="L9" s="367"/>
      <c r="N9" s="110"/>
      <c r="O9" s="110"/>
      <c r="P9" s="110"/>
      <c r="Q9" s="110"/>
      <c r="R9" s="110"/>
    </row>
    <row r="10" spans="1:18" s="57" customFormat="1" ht="14.5" customHeight="1" x14ac:dyDescent="0.2">
      <c r="A10" s="110"/>
      <c r="B10" s="110"/>
      <c r="C10" s="110"/>
      <c r="D10" s="110"/>
      <c r="E10" s="110"/>
      <c r="F10" s="110"/>
      <c r="G10" s="110"/>
      <c r="H10" s="110"/>
      <c r="I10" s="110"/>
      <c r="J10" s="110"/>
      <c r="K10" s="110"/>
      <c r="L10" s="110"/>
    </row>
    <row r="11" spans="1:18" s="57" customFormat="1" ht="14.5" customHeight="1" x14ac:dyDescent="0.2">
      <c r="A11" s="368" t="s">
        <v>331</v>
      </c>
      <c r="B11" s="369"/>
      <c r="C11" s="369"/>
      <c r="D11" s="369"/>
      <c r="E11" s="369"/>
      <c r="F11" s="369"/>
      <c r="G11" s="369"/>
      <c r="H11" s="369"/>
      <c r="I11" s="369"/>
      <c r="J11" s="369"/>
      <c r="K11" s="369"/>
      <c r="L11" s="370"/>
    </row>
    <row r="12" spans="1:18" s="57" customFormat="1" ht="50" customHeight="1" x14ac:dyDescent="0.2">
      <c r="A12" s="344" t="s">
        <v>332</v>
      </c>
      <c r="B12" s="360" t="s">
        <v>481</v>
      </c>
      <c r="C12" s="360"/>
      <c r="D12" s="360"/>
      <c r="E12" s="360"/>
      <c r="F12" s="360"/>
      <c r="G12" s="360"/>
      <c r="H12" s="360"/>
      <c r="I12" s="360"/>
      <c r="J12" s="360"/>
      <c r="K12" s="360"/>
      <c r="L12" s="361"/>
    </row>
    <row r="13" spans="1:18" s="57" customFormat="1" ht="195" customHeight="1" x14ac:dyDescent="0.2">
      <c r="A13" s="344"/>
      <c r="B13" s="360"/>
      <c r="C13" s="360"/>
      <c r="D13" s="360"/>
      <c r="E13" s="360"/>
      <c r="F13" s="360"/>
      <c r="G13" s="360"/>
      <c r="H13" s="360"/>
      <c r="I13" s="360"/>
      <c r="J13" s="360"/>
      <c r="K13" s="360"/>
      <c r="L13" s="342"/>
    </row>
    <row r="14" spans="1:18" s="56" customFormat="1" ht="18" customHeight="1" x14ac:dyDescent="0.2">
      <c r="A14" s="235" t="s">
        <v>333</v>
      </c>
      <c r="B14" s="360" t="s">
        <v>335</v>
      </c>
      <c r="C14" s="360"/>
      <c r="D14" s="360"/>
      <c r="E14" s="360"/>
      <c r="F14" s="360"/>
      <c r="G14" s="360"/>
      <c r="H14" s="360"/>
      <c r="I14" s="360"/>
      <c r="J14" s="360"/>
      <c r="K14" s="360"/>
      <c r="L14" s="361"/>
    </row>
    <row r="15" spans="1:18" s="57" customFormat="1" ht="176" customHeight="1" x14ac:dyDescent="0.2">
      <c r="A15" s="227"/>
      <c r="B15" s="362"/>
      <c r="C15" s="362"/>
      <c r="D15" s="362"/>
      <c r="E15" s="362"/>
      <c r="F15" s="362"/>
      <c r="G15" s="362"/>
      <c r="H15" s="233"/>
      <c r="I15" s="233"/>
      <c r="J15" s="233"/>
      <c r="K15" s="233"/>
      <c r="L15" s="234"/>
    </row>
    <row r="16" spans="1:18" s="56" customFormat="1" ht="14.5" customHeight="1" x14ac:dyDescent="0.2">
      <c r="A16" s="235" t="s">
        <v>334</v>
      </c>
      <c r="B16" s="360" t="s">
        <v>336</v>
      </c>
      <c r="C16" s="360"/>
      <c r="D16" s="360"/>
      <c r="E16" s="360"/>
      <c r="F16" s="360"/>
      <c r="G16" s="360"/>
      <c r="H16" s="360"/>
      <c r="I16" s="360"/>
      <c r="J16" s="360"/>
      <c r="K16" s="360"/>
      <c r="L16" s="361"/>
    </row>
    <row r="17" spans="1:14" s="57" customFormat="1" ht="90.5" customHeight="1" x14ac:dyDescent="0.2">
      <c r="A17" s="227"/>
      <c r="B17" s="362"/>
      <c r="C17" s="362"/>
      <c r="D17" s="362"/>
      <c r="E17" s="362"/>
      <c r="F17" s="362"/>
      <c r="G17" s="362"/>
      <c r="H17" s="362"/>
      <c r="I17" s="362"/>
      <c r="J17" s="362"/>
      <c r="K17" s="362"/>
      <c r="L17" s="363"/>
    </row>
    <row r="18" spans="1:14" s="56" customFormat="1" ht="29" customHeight="1" x14ac:dyDescent="0.2">
      <c r="A18" s="235" t="s">
        <v>474</v>
      </c>
      <c r="B18" s="360" t="s">
        <v>462</v>
      </c>
      <c r="C18" s="360"/>
      <c r="D18" s="360"/>
      <c r="E18" s="360"/>
      <c r="F18" s="360"/>
      <c r="G18" s="360"/>
      <c r="H18" s="360"/>
      <c r="I18" s="360"/>
      <c r="J18" s="360"/>
      <c r="K18" s="360"/>
      <c r="L18" s="361"/>
    </row>
    <row r="19" spans="1:14" s="57" customFormat="1" ht="269" customHeight="1" x14ac:dyDescent="0.2">
      <c r="A19" s="227"/>
      <c r="B19" s="362" t="e" vm="1">
        <v>#VALUE!</v>
      </c>
      <c r="C19" s="362"/>
      <c r="D19" s="362"/>
      <c r="E19" s="362"/>
      <c r="F19" s="362"/>
      <c r="G19" s="362"/>
      <c r="H19" s="362"/>
      <c r="I19" s="362"/>
      <c r="J19" s="362"/>
      <c r="K19" s="362"/>
      <c r="L19" s="234"/>
    </row>
    <row r="20" spans="1:14" s="57" customFormat="1" ht="14.5" customHeight="1" x14ac:dyDescent="0.2">
      <c r="A20" s="394" t="s">
        <v>340</v>
      </c>
      <c r="B20" s="395"/>
      <c r="C20" s="395"/>
      <c r="D20" s="395"/>
      <c r="E20" s="232" t="s">
        <v>341</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1" t="s">
        <v>165</v>
      </c>
      <c r="B22" s="382"/>
      <c r="C22" s="382"/>
      <c r="D22" s="382"/>
      <c r="E22" s="382"/>
      <c r="F22" s="382"/>
      <c r="G22" s="382"/>
      <c r="H22" s="382"/>
      <c r="I22" s="382"/>
      <c r="J22" s="382"/>
      <c r="K22" s="382"/>
      <c r="L22" s="383"/>
    </row>
    <row r="23" spans="1:14" s="57" customFormat="1" ht="14.5" customHeight="1" x14ac:dyDescent="0.2">
      <c r="A23" s="384" t="s">
        <v>280</v>
      </c>
      <c r="B23" s="385"/>
      <c r="C23" s="385"/>
      <c r="D23" s="385"/>
      <c r="E23" s="385"/>
      <c r="F23" s="385"/>
      <c r="G23" s="385"/>
      <c r="H23" s="385"/>
      <c r="I23" s="385"/>
      <c r="J23" s="385"/>
      <c r="K23" s="385"/>
      <c r="L23" s="386"/>
    </row>
    <row r="24" spans="1:14" s="57" customFormat="1" ht="14.5" customHeight="1" x14ac:dyDescent="0.2">
      <c r="A24" s="387" t="s">
        <v>281</v>
      </c>
      <c r="B24" s="345"/>
      <c r="C24" s="345"/>
      <c r="D24" s="345"/>
      <c r="E24" s="345"/>
      <c r="F24" s="345"/>
      <c r="G24" s="345"/>
      <c r="H24" s="345"/>
      <c r="I24" s="345"/>
      <c r="J24" s="345"/>
      <c r="K24" s="345"/>
      <c r="L24" s="346"/>
    </row>
    <row r="25" spans="1:14" s="57" customFormat="1" ht="14.5" customHeight="1" x14ac:dyDescent="0.2">
      <c r="A25" s="387" t="s">
        <v>166</v>
      </c>
      <c r="B25" s="345"/>
      <c r="C25" s="345"/>
      <c r="D25" s="345"/>
      <c r="E25" s="345"/>
      <c r="F25" s="345"/>
      <c r="G25" s="345"/>
      <c r="H25" s="345"/>
      <c r="I25" s="345"/>
      <c r="J25" s="345"/>
      <c r="K25" s="345"/>
      <c r="L25" s="346"/>
    </row>
    <row r="26" spans="1:14" s="57" customFormat="1" ht="14.5" customHeight="1" x14ac:dyDescent="0.2">
      <c r="A26" s="388" t="s">
        <v>282</v>
      </c>
      <c r="B26" s="389"/>
      <c r="C26" s="389"/>
      <c r="D26" s="389"/>
      <c r="E26" s="389"/>
      <c r="F26" s="389"/>
      <c r="G26" s="389"/>
      <c r="H26" s="389"/>
      <c r="I26" s="389"/>
      <c r="J26" s="389"/>
      <c r="K26" s="389"/>
      <c r="L26" s="390"/>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1" t="s">
        <v>279</v>
      </c>
      <c r="B28" s="392"/>
      <c r="C28" s="392"/>
      <c r="D28" s="392"/>
      <c r="E28" s="392"/>
      <c r="F28" s="392"/>
      <c r="G28" s="392"/>
      <c r="H28" s="392"/>
      <c r="I28" s="392"/>
      <c r="J28" s="392"/>
      <c r="K28" s="392"/>
      <c r="L28" s="393"/>
      <c r="N28" s="1"/>
    </row>
    <row r="29" spans="1:14" s="57" customFormat="1" ht="16.5" customHeight="1" x14ac:dyDescent="0.2">
      <c r="A29" s="378" t="s">
        <v>175</v>
      </c>
      <c r="B29" s="379"/>
      <c r="C29" s="379"/>
      <c r="D29" s="379"/>
      <c r="E29" s="379"/>
      <c r="F29" s="379"/>
      <c r="G29" s="379"/>
      <c r="H29" s="379"/>
      <c r="I29" s="379"/>
      <c r="J29" s="379"/>
      <c r="K29" s="379"/>
      <c r="L29" s="380"/>
      <c r="N29" s="1"/>
    </row>
    <row r="30" spans="1:14" s="57" customFormat="1" ht="15" customHeight="1" x14ac:dyDescent="0.2">
      <c r="A30" s="209">
        <v>1</v>
      </c>
      <c r="B30" s="353" t="s">
        <v>174</v>
      </c>
      <c r="C30" s="353"/>
      <c r="D30" s="353"/>
      <c r="E30" s="353"/>
      <c r="F30" s="353"/>
      <c r="G30" s="353"/>
      <c r="H30" s="353"/>
      <c r="I30" s="353"/>
      <c r="J30" s="353"/>
      <c r="K30" s="353"/>
      <c r="L30" s="354"/>
    </row>
    <row r="31" spans="1:14" s="57" customFormat="1" ht="30" customHeight="1" x14ac:dyDescent="0.2">
      <c r="A31" s="209">
        <v>2</v>
      </c>
      <c r="B31" s="353" t="s">
        <v>275</v>
      </c>
      <c r="C31" s="353"/>
      <c r="D31" s="353"/>
      <c r="E31" s="353"/>
      <c r="F31" s="353"/>
      <c r="G31" s="353"/>
      <c r="H31" s="353"/>
      <c r="I31" s="353"/>
      <c r="J31" s="353"/>
      <c r="K31" s="353"/>
      <c r="L31" s="354"/>
      <c r="N31" s="104"/>
    </row>
    <row r="32" spans="1:14" s="57" customFormat="1" ht="15" customHeight="1" x14ac:dyDescent="0.2">
      <c r="A32" s="209">
        <v>3</v>
      </c>
      <c r="B32" s="353" t="s">
        <v>167</v>
      </c>
      <c r="C32" s="353"/>
      <c r="D32" s="353"/>
      <c r="E32" s="353"/>
      <c r="F32" s="353"/>
      <c r="G32" s="353"/>
      <c r="H32" s="353"/>
      <c r="I32" s="353"/>
      <c r="J32" s="353"/>
      <c r="K32" s="353"/>
      <c r="L32" s="354"/>
      <c r="N32" s="104"/>
    </row>
    <row r="33" spans="1:14" s="57" customFormat="1" ht="15" customHeight="1" x14ac:dyDescent="0.2">
      <c r="A33" s="209">
        <v>4</v>
      </c>
      <c r="B33" s="353" t="s">
        <v>283</v>
      </c>
      <c r="C33" s="353"/>
      <c r="D33" s="353"/>
      <c r="E33" s="353"/>
      <c r="F33" s="353"/>
      <c r="G33" s="353"/>
      <c r="H33" s="353"/>
      <c r="I33" s="353"/>
      <c r="J33" s="353"/>
      <c r="K33" s="353"/>
      <c r="L33" s="354"/>
      <c r="N33" s="104"/>
    </row>
    <row r="34" spans="1:14" s="57" customFormat="1" ht="15" customHeight="1" x14ac:dyDescent="0.2">
      <c r="A34" s="209">
        <v>5</v>
      </c>
      <c r="B34" s="353" t="s">
        <v>168</v>
      </c>
      <c r="C34" s="353"/>
      <c r="D34" s="353"/>
      <c r="E34" s="353"/>
      <c r="F34" s="353"/>
      <c r="G34" s="353"/>
      <c r="H34" s="353"/>
      <c r="I34" s="353"/>
      <c r="J34" s="353"/>
      <c r="K34" s="353"/>
      <c r="L34" s="354"/>
      <c r="N34" s="104"/>
    </row>
    <row r="35" spans="1:14" s="57" customFormat="1" ht="15" customHeight="1" x14ac:dyDescent="0.2">
      <c r="A35" s="209"/>
      <c r="B35" s="353" t="s">
        <v>169</v>
      </c>
      <c r="C35" s="353"/>
      <c r="D35" s="353"/>
      <c r="E35" s="353"/>
      <c r="F35" s="353"/>
      <c r="G35" s="353"/>
      <c r="H35" s="353"/>
      <c r="I35" s="353"/>
      <c r="J35" s="353"/>
      <c r="K35" s="353"/>
      <c r="L35" s="354"/>
      <c r="N35" s="104"/>
    </row>
    <row r="36" spans="1:14" s="57" customFormat="1" ht="15" customHeight="1" x14ac:dyDescent="0.2">
      <c r="A36" s="209"/>
      <c r="B36" s="353" t="s">
        <v>170</v>
      </c>
      <c r="C36" s="353"/>
      <c r="D36" s="353"/>
      <c r="E36" s="353"/>
      <c r="F36" s="353"/>
      <c r="G36" s="353"/>
      <c r="H36" s="353"/>
      <c r="I36" s="353"/>
      <c r="J36" s="353"/>
      <c r="K36" s="353"/>
      <c r="L36" s="354"/>
      <c r="N36" s="104"/>
    </row>
    <row r="37" spans="1:14" s="57" customFormat="1" ht="15" customHeight="1" x14ac:dyDescent="0.2">
      <c r="A37" s="347" t="s">
        <v>176</v>
      </c>
      <c r="B37" s="348"/>
      <c r="C37" s="348"/>
      <c r="D37" s="348"/>
      <c r="E37" s="348"/>
      <c r="F37" s="348"/>
      <c r="G37" s="348"/>
      <c r="H37" s="348"/>
      <c r="I37" s="348"/>
      <c r="J37" s="348"/>
      <c r="K37" s="348"/>
      <c r="L37" s="349"/>
      <c r="N37" s="104"/>
    </row>
    <row r="38" spans="1:14" s="57" customFormat="1" ht="15" customHeight="1" x14ac:dyDescent="0.2">
      <c r="A38" s="209">
        <v>1</v>
      </c>
      <c r="B38" s="353" t="s">
        <v>171</v>
      </c>
      <c r="C38" s="353"/>
      <c r="D38" s="353"/>
      <c r="E38" s="353"/>
      <c r="F38" s="353"/>
      <c r="G38" s="353"/>
      <c r="H38" s="353"/>
      <c r="I38" s="353"/>
      <c r="J38" s="353"/>
      <c r="K38" s="353"/>
      <c r="L38" s="354"/>
      <c r="N38" s="104"/>
    </row>
    <row r="39" spans="1:14" s="57" customFormat="1" ht="30.75" customHeight="1" x14ac:dyDescent="0.2">
      <c r="A39" s="209"/>
      <c r="B39" s="364" t="s">
        <v>423</v>
      </c>
      <c r="C39" s="364"/>
      <c r="D39" s="364"/>
      <c r="E39" s="364"/>
      <c r="F39" s="364"/>
      <c r="G39" s="364"/>
      <c r="H39" s="364"/>
      <c r="I39" s="364"/>
      <c r="J39" s="364"/>
      <c r="K39" s="364"/>
      <c r="L39" s="365"/>
      <c r="N39" s="104"/>
    </row>
    <row r="40" spans="1:14" s="57" customFormat="1" ht="29.5" customHeight="1" x14ac:dyDescent="0.2">
      <c r="A40" s="209">
        <v>2</v>
      </c>
      <c r="B40" s="353" t="s">
        <v>278</v>
      </c>
      <c r="C40" s="353"/>
      <c r="D40" s="353"/>
      <c r="E40" s="353"/>
      <c r="F40" s="353"/>
      <c r="G40" s="353"/>
      <c r="H40" s="353"/>
      <c r="I40" s="353"/>
      <c r="J40" s="353"/>
      <c r="K40" s="353"/>
      <c r="L40" s="354"/>
      <c r="N40" s="104"/>
    </row>
    <row r="41" spans="1:14" s="57" customFormat="1" ht="26.5" customHeight="1" x14ac:dyDescent="0.2">
      <c r="A41" s="209">
        <v>3</v>
      </c>
      <c r="B41" s="353" t="s">
        <v>472</v>
      </c>
      <c r="C41" s="353"/>
      <c r="D41" s="353"/>
      <c r="E41" s="353"/>
      <c r="F41" s="353"/>
      <c r="G41" s="353"/>
      <c r="H41" s="353"/>
      <c r="I41" s="353"/>
      <c r="J41" s="353"/>
      <c r="K41" s="353"/>
      <c r="L41" s="354"/>
      <c r="N41" s="104"/>
    </row>
    <row r="42" spans="1:14" s="57" customFormat="1" ht="33" customHeight="1" x14ac:dyDescent="0.2">
      <c r="A42" s="209">
        <v>4</v>
      </c>
      <c r="B42" s="353" t="s">
        <v>284</v>
      </c>
      <c r="C42" s="353"/>
      <c r="D42" s="353"/>
      <c r="E42" s="353"/>
      <c r="F42" s="353"/>
      <c r="G42" s="353"/>
      <c r="H42" s="353"/>
      <c r="I42" s="353"/>
      <c r="J42" s="353"/>
      <c r="K42" s="353"/>
      <c r="L42" s="354"/>
      <c r="N42" s="104"/>
    </row>
    <row r="43" spans="1:14" s="57" customFormat="1" ht="15" customHeight="1" x14ac:dyDescent="0.2">
      <c r="A43" s="209">
        <v>5</v>
      </c>
      <c r="B43" s="364" t="s">
        <v>269</v>
      </c>
      <c r="C43" s="364"/>
      <c r="D43" s="364"/>
      <c r="E43" s="364"/>
      <c r="F43" s="364"/>
      <c r="G43" s="364"/>
      <c r="H43" s="364"/>
      <c r="I43" s="364"/>
      <c r="J43" s="364"/>
      <c r="K43" s="364"/>
      <c r="L43" s="365"/>
      <c r="N43" s="104"/>
    </row>
    <row r="44" spans="1:14" s="57" customFormat="1" ht="28.5" customHeight="1" x14ac:dyDescent="0.2">
      <c r="A44" s="209">
        <v>6</v>
      </c>
      <c r="B44" s="364" t="s">
        <v>473</v>
      </c>
      <c r="C44" s="364"/>
      <c r="D44" s="364"/>
      <c r="E44" s="364"/>
      <c r="F44" s="364"/>
      <c r="G44" s="364"/>
      <c r="H44" s="364"/>
      <c r="I44" s="364"/>
      <c r="J44" s="364"/>
      <c r="K44" s="364"/>
      <c r="L44" s="365"/>
      <c r="N44" s="104"/>
    </row>
    <row r="45" spans="1:14" s="57" customFormat="1" ht="16.5" customHeight="1" x14ac:dyDescent="0.2">
      <c r="A45" s="209">
        <v>7</v>
      </c>
      <c r="B45" s="353" t="s">
        <v>270</v>
      </c>
      <c r="C45" s="353"/>
      <c r="D45" s="353"/>
      <c r="E45" s="353"/>
      <c r="F45" s="353"/>
      <c r="G45" s="353"/>
      <c r="H45" s="353"/>
      <c r="I45" s="353"/>
      <c r="J45" s="353"/>
      <c r="K45" s="353"/>
      <c r="L45" s="354"/>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47" t="s">
        <v>273</v>
      </c>
      <c r="B47" s="348"/>
      <c r="C47" s="348"/>
      <c r="D47" s="348"/>
      <c r="E47" s="348"/>
      <c r="F47" s="348"/>
      <c r="G47" s="348"/>
      <c r="H47" s="348"/>
      <c r="I47" s="348"/>
      <c r="J47" s="348"/>
      <c r="K47" s="348"/>
      <c r="L47" s="349"/>
    </row>
    <row r="48" spans="1:14" s="57" customFormat="1" ht="15" customHeight="1" x14ac:dyDescent="0.2">
      <c r="A48" s="212" t="s">
        <v>271</v>
      </c>
      <c r="B48" s="353" t="s">
        <v>172</v>
      </c>
      <c r="C48" s="353"/>
      <c r="D48" s="353"/>
      <c r="E48" s="353"/>
      <c r="F48" s="353"/>
      <c r="G48" s="353"/>
      <c r="H48" s="353"/>
      <c r="I48" s="353"/>
      <c r="J48" s="353"/>
      <c r="K48" s="353"/>
      <c r="L48" s="354"/>
    </row>
    <row r="49" spans="1:12" s="57" customFormat="1" ht="30.75" customHeight="1" x14ac:dyDescent="0.2">
      <c r="A49" s="213" t="s">
        <v>272</v>
      </c>
      <c r="B49" s="355" t="s">
        <v>274</v>
      </c>
      <c r="C49" s="355"/>
      <c r="D49" s="355"/>
      <c r="E49" s="355"/>
      <c r="F49" s="355"/>
      <c r="G49" s="355"/>
      <c r="H49" s="355"/>
      <c r="I49" s="355"/>
      <c r="J49" s="355"/>
      <c r="K49" s="355"/>
      <c r="L49" s="356"/>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57" t="s">
        <v>200</v>
      </c>
      <c r="B51" s="358"/>
      <c r="C51" s="358"/>
      <c r="D51" s="358"/>
      <c r="E51" s="358"/>
      <c r="F51" s="358"/>
      <c r="G51" s="358"/>
      <c r="H51" s="358"/>
      <c r="I51" s="358"/>
      <c r="J51" s="358"/>
      <c r="K51" s="358"/>
      <c r="L51" s="359"/>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424</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45" t="s">
        <v>262</v>
      </c>
      <c r="D57" s="345"/>
      <c r="E57" s="345"/>
      <c r="F57" s="345"/>
      <c r="G57" s="345"/>
      <c r="H57" s="345"/>
      <c r="I57" s="345"/>
      <c r="J57" s="345"/>
      <c r="K57" s="345"/>
      <c r="L57" s="346"/>
    </row>
    <row r="58" spans="1:12" s="56" customFormat="1" ht="33.75" customHeight="1" x14ac:dyDescent="0.2">
      <c r="A58" s="164"/>
      <c r="B58" s="165" t="s">
        <v>263</v>
      </c>
      <c r="C58" s="345" t="s">
        <v>264</v>
      </c>
      <c r="D58" s="345"/>
      <c r="E58" s="345"/>
      <c r="F58" s="345"/>
      <c r="G58" s="345"/>
      <c r="H58" s="345"/>
      <c r="I58" s="345"/>
      <c r="J58" s="345"/>
      <c r="K58" s="345"/>
      <c r="L58" s="346"/>
    </row>
    <row r="59" spans="1:12" s="56" customFormat="1" ht="33.75" customHeight="1" x14ac:dyDescent="0.2">
      <c r="A59" s="164"/>
      <c r="B59" s="165" t="s">
        <v>324</v>
      </c>
      <c r="C59" s="345" t="s">
        <v>325</v>
      </c>
      <c r="D59" s="345"/>
      <c r="E59" s="345"/>
      <c r="F59" s="345"/>
      <c r="G59" s="345"/>
      <c r="H59" s="345"/>
      <c r="I59" s="345"/>
      <c r="J59" s="345"/>
      <c r="K59" s="345"/>
      <c r="L59" s="346"/>
    </row>
    <row r="60" spans="1:12" ht="30.75" customHeight="1" x14ac:dyDescent="0.2">
      <c r="A60" s="164"/>
      <c r="B60" s="165" t="s">
        <v>98</v>
      </c>
      <c r="C60" s="345" t="s">
        <v>99</v>
      </c>
      <c r="D60" s="345"/>
      <c r="E60" s="345"/>
      <c r="F60" s="345"/>
      <c r="G60" s="345"/>
      <c r="H60" s="345"/>
      <c r="I60" s="345"/>
      <c r="J60" s="345"/>
      <c r="K60" s="345"/>
      <c r="L60" s="346"/>
    </row>
    <row r="61" spans="1:12" ht="30.75" customHeight="1" x14ac:dyDescent="0.2">
      <c r="A61" s="164"/>
      <c r="B61" s="165" t="s">
        <v>198</v>
      </c>
      <c r="C61" s="345" t="s">
        <v>199</v>
      </c>
      <c r="D61" s="345"/>
      <c r="E61" s="345"/>
      <c r="F61" s="345"/>
      <c r="G61" s="345"/>
      <c r="H61" s="345"/>
      <c r="I61" s="345"/>
      <c r="J61" s="345"/>
      <c r="K61" s="345"/>
      <c r="L61" s="346"/>
    </row>
    <row r="62" spans="1:12" ht="31" customHeight="1" x14ac:dyDescent="0.2">
      <c r="A62" s="164"/>
      <c r="B62" s="165" t="s">
        <v>163</v>
      </c>
      <c r="C62" s="345" t="s">
        <v>463</v>
      </c>
      <c r="D62" s="376"/>
      <c r="E62" s="376"/>
      <c r="F62" s="376"/>
      <c r="G62" s="376"/>
      <c r="H62" s="376"/>
      <c r="I62" s="376"/>
      <c r="J62" s="376"/>
      <c r="K62" s="376"/>
      <c r="L62" s="377"/>
    </row>
    <row r="63" spans="1:12" ht="14.5" customHeight="1" x14ac:dyDescent="0.2">
      <c r="A63" s="164"/>
      <c r="B63" s="165" t="s">
        <v>390</v>
      </c>
      <c r="C63" s="345" t="s">
        <v>391</v>
      </c>
      <c r="D63" s="345"/>
      <c r="E63" s="345"/>
      <c r="F63" s="345"/>
      <c r="G63" s="345"/>
      <c r="H63" s="345"/>
      <c r="I63" s="345"/>
      <c r="J63" s="345"/>
      <c r="K63" s="345"/>
      <c r="L63" s="346"/>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392</v>
      </c>
    </row>
    <row r="74" spans="1:12" x14ac:dyDescent="0.2">
      <c r="A74" t="s">
        <v>54</v>
      </c>
    </row>
    <row r="75" spans="1:12" x14ac:dyDescent="0.2">
      <c r="A75" s="43" t="s">
        <v>393</v>
      </c>
    </row>
    <row r="76" spans="1:12" x14ac:dyDescent="0.2">
      <c r="A76" s="43"/>
    </row>
    <row r="77" spans="1:12" x14ac:dyDescent="0.2">
      <c r="A77" s="1" t="s">
        <v>475</v>
      </c>
    </row>
    <row r="78" spans="1:12" x14ac:dyDescent="0.2">
      <c r="A78" t="s">
        <v>54</v>
      </c>
    </row>
    <row r="79" spans="1:12" x14ac:dyDescent="0.2">
      <c r="A79" s="43" t="s">
        <v>476</v>
      </c>
    </row>
    <row r="80" spans="1:12" x14ac:dyDescent="0.2">
      <c r="A80" s="43"/>
    </row>
    <row r="81" spans="1:12" x14ac:dyDescent="0.2">
      <c r="A81" s="229" t="s">
        <v>337</v>
      </c>
    </row>
    <row r="82" spans="1:12" x14ac:dyDescent="0.2">
      <c r="A82" s="228" t="s">
        <v>338</v>
      </c>
    </row>
    <row r="83" spans="1:12" x14ac:dyDescent="0.2">
      <c r="A83" s="43" t="s">
        <v>339</v>
      </c>
    </row>
    <row r="84" spans="1:12" x14ac:dyDescent="0.2">
      <c r="A84" s="43"/>
    </row>
    <row r="85" spans="1:12" x14ac:dyDescent="0.2">
      <c r="A85" s="1" t="s">
        <v>161</v>
      </c>
    </row>
    <row r="86" spans="1:12" x14ac:dyDescent="0.2">
      <c r="A86" s="43" t="s">
        <v>265</v>
      </c>
    </row>
    <row r="88" spans="1:12" ht="29.25" customHeight="1" x14ac:dyDescent="0.2">
      <c r="A88" s="1" t="s">
        <v>23</v>
      </c>
      <c r="B88" s="343"/>
      <c r="C88" s="343"/>
      <c r="D88" s="343"/>
      <c r="E88" s="343"/>
      <c r="F88" s="343"/>
      <c r="G88" s="343"/>
      <c r="H88" s="343"/>
      <c r="I88" s="343"/>
      <c r="J88" s="343"/>
      <c r="K88" s="343"/>
      <c r="L88" s="343"/>
    </row>
    <row r="89" spans="1:12" ht="409.6" x14ac:dyDescent="0.2">
      <c r="A89" s="343" t="s">
        <v>394</v>
      </c>
    </row>
    <row r="93" spans="1:12" ht="16" customHeight="1" x14ac:dyDescent="0.2"/>
    <row r="94" spans="1:12" ht="29.25" customHeight="1" x14ac:dyDescent="0.2"/>
  </sheetData>
  <mergeCells count="52">
    <mergeCell ref="C62:L62"/>
    <mergeCell ref="A29:L29"/>
    <mergeCell ref="A22:L22"/>
    <mergeCell ref="A23:L23"/>
    <mergeCell ref="A24:L24"/>
    <mergeCell ref="A25:L25"/>
    <mergeCell ref="A26:L26"/>
    <mergeCell ref="A28:L28"/>
    <mergeCell ref="B41:L41"/>
    <mergeCell ref="B40:L40"/>
    <mergeCell ref="B42:L42"/>
    <mergeCell ref="C61:L61"/>
    <mergeCell ref="C58:L58"/>
    <mergeCell ref="B12:L12"/>
    <mergeCell ref="B13:K13"/>
    <mergeCell ref="A1:L1"/>
    <mergeCell ref="A4:L4"/>
    <mergeCell ref="N4:R4"/>
    <mergeCell ref="A6:L6"/>
    <mergeCell ref="A7:L7"/>
    <mergeCell ref="B14:L14"/>
    <mergeCell ref="C59:L59"/>
    <mergeCell ref="B43:L43"/>
    <mergeCell ref="B30:L30"/>
    <mergeCell ref="B31:L31"/>
    <mergeCell ref="B32:L32"/>
    <mergeCell ref="B33:L33"/>
    <mergeCell ref="B34:L34"/>
    <mergeCell ref="B35:L35"/>
    <mergeCell ref="B36:L36"/>
    <mergeCell ref="A37:L37"/>
    <mergeCell ref="B38:L38"/>
    <mergeCell ref="B39:L39"/>
    <mergeCell ref="B19:K19"/>
    <mergeCell ref="B15:G15"/>
    <mergeCell ref="A20:D20"/>
    <mergeCell ref="C63:L63"/>
    <mergeCell ref="A47:L47"/>
    <mergeCell ref="A5:L5"/>
    <mergeCell ref="B48:L48"/>
    <mergeCell ref="B49:L49"/>
    <mergeCell ref="A51:L51"/>
    <mergeCell ref="C57:L57"/>
    <mergeCell ref="C60:L60"/>
    <mergeCell ref="B16:L16"/>
    <mergeCell ref="B17:L17"/>
    <mergeCell ref="B18:L18"/>
    <mergeCell ref="B44:L44"/>
    <mergeCell ref="B45:L45"/>
    <mergeCell ref="B8:L8"/>
    <mergeCell ref="B9:L9"/>
    <mergeCell ref="A11:L11"/>
  </mergeCells>
  <hyperlinks>
    <hyperlink ref="A70" r:id="rId1" xr:uid="{C9866D44-2827-49D7-B9C3-89CF23FACDC1}"/>
    <hyperlink ref="A71" r:id="rId2" xr:uid="{66F54200-A2AB-43DA-A0E0-F2A25A075EE5}"/>
    <hyperlink ref="A86" r:id="rId3" xr:uid="{A0F8DE06-D9FC-495F-9A01-AA199CB82365}"/>
    <hyperlink ref="A51:L51" r:id="rId4" display="LETS START (visual directions as pdf)" xr:uid="{0D075873-7EBB-4309-B00A-6A62EA192A0C}"/>
    <hyperlink ref="A52" r:id="rId5" xr:uid="{25154A32-BA44-496E-9945-086DE0980DBD}"/>
    <hyperlink ref="A83" r:id="rId6" xr:uid="{AA792CE4-4071-4CE8-87C6-993A0BA6C6A5}"/>
    <hyperlink ref="E20" r:id="rId7" xr:uid="{218FEB9D-6782-4420-9DCE-4D6F20EDE6D5}"/>
    <hyperlink ref="A75" r:id="rId8" xr:uid="{E4DF21D7-58D7-F94D-825D-01575427A9FE}"/>
    <hyperlink ref="A79"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4" zoomScale="150" zoomScaleNormal="150" workbookViewId="0">
      <selection activeCell="C24" sqref="C24"/>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290</v>
      </c>
      <c r="C5" s="54" t="s">
        <v>291</v>
      </c>
      <c r="D5" s="53">
        <v>4</v>
      </c>
      <c r="E5" s="53" t="s">
        <v>240</v>
      </c>
      <c r="F5" s="53" t="s">
        <v>240</v>
      </c>
      <c r="G5" s="55"/>
      <c r="I5" s="37"/>
      <c r="J5" s="37"/>
      <c r="K5" s="39"/>
    </row>
    <row r="6" spans="1:11" ht="38.5" customHeight="1" x14ac:dyDescent="0.2">
      <c r="A6" s="55">
        <v>45666</v>
      </c>
      <c r="B6" s="146" t="s">
        <v>297</v>
      </c>
      <c r="C6" s="54" t="s">
        <v>298</v>
      </c>
      <c r="D6" s="53">
        <v>3</v>
      </c>
      <c r="E6" s="53" t="s">
        <v>240</v>
      </c>
      <c r="F6" s="53" t="s">
        <v>240</v>
      </c>
      <c r="G6" s="55"/>
      <c r="I6" s="37"/>
      <c r="J6" s="37"/>
      <c r="K6" s="38"/>
    </row>
    <row r="7" spans="1:11" ht="64" x14ac:dyDescent="0.2">
      <c r="A7" s="55">
        <v>45670</v>
      </c>
      <c r="B7" s="146" t="s">
        <v>302</v>
      </c>
      <c r="C7" s="37" t="s">
        <v>299</v>
      </c>
      <c r="D7" s="53">
        <v>0.5</v>
      </c>
      <c r="E7" s="53" t="s">
        <v>240</v>
      </c>
      <c r="F7" s="53" t="s">
        <v>240</v>
      </c>
      <c r="G7" s="55"/>
      <c r="I7" s="37"/>
      <c r="J7" s="40"/>
      <c r="K7" s="39"/>
    </row>
    <row r="8" spans="1:11" ht="32" x14ac:dyDescent="0.2">
      <c r="A8" s="55">
        <v>45671</v>
      </c>
      <c r="B8" s="146" t="s">
        <v>329</v>
      </c>
      <c r="C8" s="54" t="s">
        <v>330</v>
      </c>
      <c r="D8" s="53">
        <v>0.5</v>
      </c>
      <c r="E8" s="53" t="s">
        <v>240</v>
      </c>
      <c r="F8" s="53" t="s">
        <v>240</v>
      </c>
      <c r="G8" s="55"/>
      <c r="I8" s="37"/>
      <c r="J8" s="40"/>
      <c r="K8" s="39"/>
    </row>
    <row r="9" spans="1:11" ht="16" x14ac:dyDescent="0.2">
      <c r="A9" s="55">
        <v>45681</v>
      </c>
      <c r="B9" s="146" t="s">
        <v>342</v>
      </c>
      <c r="C9" s="54" t="s">
        <v>343</v>
      </c>
      <c r="D9" s="53">
        <v>0.25</v>
      </c>
      <c r="E9" s="53" t="s">
        <v>240</v>
      </c>
      <c r="F9" s="53" t="s">
        <v>240</v>
      </c>
      <c r="G9" s="55"/>
      <c r="I9" s="37"/>
      <c r="J9" s="37"/>
      <c r="K9" s="39"/>
    </row>
    <row r="10" spans="1:11" ht="32" x14ac:dyDescent="0.2">
      <c r="A10" s="55">
        <v>45681</v>
      </c>
      <c r="B10" s="146" t="s">
        <v>346</v>
      </c>
      <c r="C10" s="54" t="s">
        <v>347</v>
      </c>
      <c r="D10" s="53">
        <v>1</v>
      </c>
      <c r="E10" s="53" t="s">
        <v>240</v>
      </c>
      <c r="F10" s="37" t="s">
        <v>344</v>
      </c>
      <c r="G10" s="55">
        <v>45678</v>
      </c>
      <c r="I10" s="37"/>
      <c r="J10" s="40"/>
      <c r="K10" s="39"/>
    </row>
    <row r="11" spans="1:11" ht="32" x14ac:dyDescent="0.2">
      <c r="A11" s="55">
        <v>45762</v>
      </c>
      <c r="B11" s="53">
        <v>1.5</v>
      </c>
      <c r="C11" s="54" t="s">
        <v>395</v>
      </c>
      <c r="D11" s="53">
        <v>12</v>
      </c>
      <c r="E11" s="53" t="s">
        <v>396</v>
      </c>
      <c r="F11" s="53" t="s">
        <v>397</v>
      </c>
      <c r="G11" s="55">
        <v>45702</v>
      </c>
      <c r="I11" s="37"/>
      <c r="J11" s="40"/>
      <c r="K11" s="39"/>
    </row>
    <row r="12" spans="1:11" ht="48" x14ac:dyDescent="0.2">
      <c r="A12" s="55">
        <v>45798</v>
      </c>
      <c r="B12" s="53">
        <v>1.6</v>
      </c>
      <c r="C12" s="54" t="s">
        <v>415</v>
      </c>
      <c r="D12" s="53">
        <v>6</v>
      </c>
      <c r="E12" s="53" t="s">
        <v>396</v>
      </c>
      <c r="F12" s="53" t="s">
        <v>414</v>
      </c>
      <c r="G12" s="55">
        <v>45702</v>
      </c>
      <c r="I12" s="37"/>
      <c r="J12" s="40"/>
      <c r="K12" s="39"/>
    </row>
    <row r="13" spans="1:11" ht="48" x14ac:dyDescent="0.2">
      <c r="A13" s="55">
        <v>45827</v>
      </c>
      <c r="B13" s="146" t="s">
        <v>430</v>
      </c>
      <c r="C13" s="54" t="s">
        <v>429</v>
      </c>
      <c r="D13" s="53">
        <v>5</v>
      </c>
      <c r="E13" s="53" t="s">
        <v>396</v>
      </c>
      <c r="F13" s="53" t="s">
        <v>414</v>
      </c>
      <c r="G13" s="55">
        <v>45702</v>
      </c>
      <c r="I13" s="37"/>
      <c r="J13" s="37"/>
      <c r="K13" s="38"/>
    </row>
    <row r="14" spans="1:11" ht="16" x14ac:dyDescent="0.2">
      <c r="A14" s="55">
        <v>45831</v>
      </c>
      <c r="B14" s="53">
        <v>1.7</v>
      </c>
      <c r="C14" s="54" t="s">
        <v>431</v>
      </c>
      <c r="D14" s="53">
        <v>1.5</v>
      </c>
      <c r="E14" s="53" t="s">
        <v>396</v>
      </c>
      <c r="F14" s="53" t="s">
        <v>240</v>
      </c>
      <c r="G14" s="55">
        <v>45813</v>
      </c>
      <c r="I14" s="37"/>
      <c r="J14" s="37"/>
      <c r="K14" s="38"/>
    </row>
    <row r="15" spans="1:11" ht="32" x14ac:dyDescent="0.2">
      <c r="A15" s="55">
        <v>45895</v>
      </c>
      <c r="B15" s="146" t="s">
        <v>465</v>
      </c>
      <c r="C15" s="54" t="s">
        <v>466</v>
      </c>
      <c r="D15" s="53">
        <v>0.5</v>
      </c>
      <c r="E15" s="53" t="s">
        <v>240</v>
      </c>
      <c r="F15" s="53"/>
      <c r="G15" s="55"/>
      <c r="I15" s="37"/>
      <c r="J15" s="37"/>
      <c r="K15" s="38"/>
    </row>
    <row r="16" spans="1:11" ht="144" x14ac:dyDescent="0.2">
      <c r="A16" s="55">
        <v>45895</v>
      </c>
      <c r="B16" s="146" t="s">
        <v>467</v>
      </c>
      <c r="C16" s="54" t="s">
        <v>468</v>
      </c>
      <c r="D16" s="53">
        <v>1</v>
      </c>
      <c r="E16" s="53" t="s">
        <v>240</v>
      </c>
      <c r="F16" s="53"/>
      <c r="G16" s="55"/>
      <c r="I16" s="37"/>
      <c r="J16" s="37"/>
      <c r="K16" s="38"/>
    </row>
    <row r="17" spans="1:7" ht="16" x14ac:dyDescent="0.2">
      <c r="A17" s="55">
        <v>45993</v>
      </c>
      <c r="B17" s="146" t="s">
        <v>469</v>
      </c>
      <c r="C17" s="54" t="s">
        <v>470</v>
      </c>
      <c r="D17" s="53">
        <v>0.5</v>
      </c>
      <c r="E17" s="53" t="s">
        <v>396</v>
      </c>
      <c r="F17" s="53" t="s">
        <v>240</v>
      </c>
      <c r="G17" s="55">
        <v>45980</v>
      </c>
    </row>
    <row r="18" spans="1:7" ht="16" x14ac:dyDescent="0.2">
      <c r="A18" s="55">
        <v>46121</v>
      </c>
      <c r="B18" s="146" t="s">
        <v>477</v>
      </c>
      <c r="C18" s="54" t="s">
        <v>483</v>
      </c>
      <c r="D18" s="53">
        <v>0.2</v>
      </c>
      <c r="E18" s="53" t="s">
        <v>396</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opLeftCell="A45" zoomScale="125" zoomScaleNormal="160" workbookViewId="0">
      <selection activeCell="N70" sqref="N70"/>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6" t="str">
        <f>'ReadMe-Directions'!A1</f>
        <v>Immersive Model for Lake Mead based on the Principle of Divide Reservoir Inflow</v>
      </c>
      <c r="B1" s="396"/>
      <c r="C1" s="396"/>
      <c r="D1" s="396"/>
      <c r="E1" s="396"/>
      <c r="F1" s="396"/>
      <c r="G1" s="396"/>
    </row>
    <row r="2" spans="1:14" x14ac:dyDescent="0.2">
      <c r="A2" s="1" t="s">
        <v>178</v>
      </c>
      <c r="B2" s="1"/>
    </row>
    <row r="3" spans="1:14" ht="32.25" customHeight="1" x14ac:dyDescent="0.2">
      <c r="A3" s="404" t="s">
        <v>190</v>
      </c>
      <c r="B3" s="404"/>
      <c r="C3" s="404"/>
      <c r="D3" s="404"/>
      <c r="E3" s="404"/>
      <c r="F3" s="404"/>
      <c r="G3" s="404"/>
      <c r="H3" s="82"/>
      <c r="I3" s="82"/>
      <c r="J3" s="82"/>
      <c r="K3" s="82"/>
      <c r="N3" s="134" t="s">
        <v>156</v>
      </c>
    </row>
    <row r="4" spans="1:14" x14ac:dyDescent="0.2">
      <c r="A4" s="124" t="s">
        <v>258</v>
      </c>
      <c r="B4" s="124" t="s">
        <v>19</v>
      </c>
      <c r="C4" s="405" t="s">
        <v>259</v>
      </c>
      <c r="D4" s="406"/>
      <c r="E4" s="406"/>
      <c r="F4" s="406"/>
      <c r="G4" s="407"/>
      <c r="N4" s="138" t="s">
        <v>326</v>
      </c>
    </row>
    <row r="5" spans="1:14" x14ac:dyDescent="0.2">
      <c r="A5" s="88" t="s">
        <v>238</v>
      </c>
      <c r="B5" s="111"/>
      <c r="C5" s="408"/>
      <c r="D5" s="403"/>
      <c r="E5" s="403"/>
      <c r="F5" s="403"/>
      <c r="G5" s="403"/>
      <c r="N5" s="138"/>
    </row>
    <row r="6" spans="1:14" x14ac:dyDescent="0.2">
      <c r="A6" s="88" t="s">
        <v>202</v>
      </c>
      <c r="B6" s="111"/>
      <c r="C6" s="408"/>
      <c r="D6" s="403"/>
      <c r="E6" s="403"/>
      <c r="F6" s="403"/>
      <c r="G6" s="403"/>
      <c r="N6" s="139"/>
    </row>
    <row r="7" spans="1:14" x14ac:dyDescent="0.2">
      <c r="A7" s="88" t="s">
        <v>203</v>
      </c>
      <c r="B7" s="111"/>
      <c r="C7" s="408"/>
      <c r="D7" s="403"/>
      <c r="E7" s="403"/>
      <c r="F7" s="403"/>
      <c r="G7" s="403"/>
      <c r="N7" s="139"/>
    </row>
    <row r="8" spans="1:14" x14ac:dyDescent="0.2">
      <c r="A8" s="111" t="s">
        <v>204</v>
      </c>
      <c r="B8" s="88"/>
      <c r="C8" s="403"/>
      <c r="D8" s="403"/>
      <c r="E8" s="403"/>
      <c r="F8" s="403"/>
      <c r="G8" s="403"/>
      <c r="N8" s="139"/>
    </row>
    <row r="9" spans="1:14" x14ac:dyDescent="0.2">
      <c r="A9" s="111" t="s">
        <v>18</v>
      </c>
      <c r="B9" s="88"/>
      <c r="C9" s="409"/>
      <c r="D9" s="409"/>
      <c r="E9" s="409"/>
      <c r="F9" s="409"/>
      <c r="G9" s="409"/>
      <c r="N9" s="139"/>
    </row>
    <row r="10" spans="1:14" x14ac:dyDescent="0.2">
      <c r="A10" s="88" t="s">
        <v>277</v>
      </c>
      <c r="B10" s="88"/>
      <c r="C10" s="403"/>
      <c r="D10" s="403"/>
      <c r="E10" s="403"/>
      <c r="F10" s="403"/>
      <c r="G10" s="403"/>
      <c r="N10" s="139"/>
    </row>
    <row r="11" spans="1:14" x14ac:dyDescent="0.2">
      <c r="A11" s="13"/>
      <c r="B11" s="2"/>
      <c r="C11"/>
      <c r="N11" s="139"/>
    </row>
    <row r="12" spans="1:14" x14ac:dyDescent="0.2">
      <c r="A12" s="15" t="s">
        <v>110</v>
      </c>
      <c r="B12" s="410" t="s">
        <v>112</v>
      </c>
      <c r="C12" s="411"/>
      <c r="D12" s="412"/>
      <c r="N12" s="138" t="s">
        <v>129</v>
      </c>
    </row>
    <row r="13" spans="1:14" x14ac:dyDescent="0.2">
      <c r="B13" s="413" t="s">
        <v>189</v>
      </c>
      <c r="C13" s="414"/>
      <c r="D13" s="415"/>
    </row>
    <row r="14" spans="1:14" x14ac:dyDescent="0.2">
      <c r="B14" s="397" t="s">
        <v>184</v>
      </c>
      <c r="C14" s="398"/>
      <c r="D14" s="399"/>
      <c r="N14" s="139"/>
    </row>
    <row r="15" spans="1:14" x14ac:dyDescent="0.2">
      <c r="B15" s="400" t="s">
        <v>21</v>
      </c>
      <c r="C15" s="401"/>
      <c r="D15" s="402"/>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345</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286</v>
      </c>
    </row>
    <row r="22" spans="1:14" x14ac:dyDescent="0.2">
      <c r="A22" t="s">
        <v>257</v>
      </c>
      <c r="C22" s="340">
        <v>3.5339999999999998</v>
      </c>
      <c r="D22" s="341" t="s">
        <v>210</v>
      </c>
      <c r="E22" s="27"/>
      <c r="F22" s="27"/>
      <c r="N22" s="138" t="s">
        <v>285</v>
      </c>
    </row>
    <row r="23" spans="1:14" x14ac:dyDescent="0.2">
      <c r="A23" t="s">
        <v>276</v>
      </c>
      <c r="C23" s="12">
        <f>C21-C22</f>
        <v>2.4471220000000002</v>
      </c>
      <c r="D23" s="109"/>
      <c r="E23" s="27"/>
      <c r="N23" s="138" t="s">
        <v>287</v>
      </c>
    </row>
    <row r="24" spans="1:14" x14ac:dyDescent="0.2">
      <c r="A24" t="s">
        <v>301</v>
      </c>
      <c r="B24" s="92">
        <f>TribalWater!H7</f>
        <v>0.16438105840220965</v>
      </c>
      <c r="C24"/>
      <c r="D24" s="109"/>
      <c r="E24" s="27"/>
      <c r="N24" s="138" t="s">
        <v>327</v>
      </c>
    </row>
    <row r="25" spans="1:14" x14ac:dyDescent="0.2">
      <c r="A25" t="s">
        <v>300</v>
      </c>
      <c r="B25" s="217">
        <f>1-B24</f>
        <v>0.83561894159779038</v>
      </c>
      <c r="C25"/>
      <c r="D25" s="109"/>
      <c r="E25" s="27"/>
      <c r="N25" s="138" t="s">
        <v>328</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289</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288</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292</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471</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464</v>
      </c>
    </row>
    <row r="67" spans="1:14" x14ac:dyDescent="0.2">
      <c r="A67" t="s">
        <v>461</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471</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464</v>
      </c>
    </row>
    <row r="77" spans="1:14" x14ac:dyDescent="0.2">
      <c r="A77" t="s">
        <v>461</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471</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464</v>
      </c>
    </row>
    <row r="87" spans="1:14" x14ac:dyDescent="0.2">
      <c r="A87" t="s">
        <v>461</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471</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464</v>
      </c>
    </row>
    <row r="97" spans="1:14" x14ac:dyDescent="0.2">
      <c r="A97" t="s">
        <v>461</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471</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459</v>
      </c>
      <c r="B105" s="237"/>
      <c r="C105" s="89"/>
      <c r="D105" s="89"/>
      <c r="E105" s="89"/>
      <c r="F105" s="89"/>
      <c r="G105" s="89"/>
      <c r="H105" s="331">
        <v>0</v>
      </c>
      <c r="I105" s="89"/>
      <c r="J105" s="89"/>
      <c r="K105" s="89"/>
      <c r="L105" s="89"/>
      <c r="M105" s="329">
        <f>SUM(C105:L105)</f>
        <v>0</v>
      </c>
      <c r="N105" s="141" t="s">
        <v>147</v>
      </c>
    </row>
    <row r="106" spans="1:14" x14ac:dyDescent="0.2">
      <c r="A106" s="123" t="s">
        <v>460</v>
      </c>
      <c r="B106" s="237"/>
      <c r="C106" s="90"/>
      <c r="D106" s="90"/>
      <c r="E106" s="90"/>
      <c r="F106" s="90"/>
      <c r="G106" s="90"/>
      <c r="H106" s="332"/>
      <c r="I106" s="90"/>
      <c r="J106" s="90"/>
      <c r="K106" s="90"/>
      <c r="L106" s="90"/>
      <c r="M106" s="326"/>
      <c r="N106" s="338" t="s">
        <v>464</v>
      </c>
    </row>
    <row r="107" spans="1:14" x14ac:dyDescent="0.2">
      <c r="A107" t="s">
        <v>461</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471</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459</v>
      </c>
      <c r="B115" s="237"/>
      <c r="C115" s="89"/>
      <c r="D115" s="89"/>
      <c r="E115" s="89"/>
      <c r="F115" s="89"/>
      <c r="G115" s="89"/>
      <c r="H115" s="331">
        <v>0</v>
      </c>
      <c r="I115" s="89"/>
      <c r="J115" s="89"/>
      <c r="K115" s="89"/>
      <c r="L115" s="89"/>
      <c r="M115" s="329">
        <f>SUM(C115:L115)</f>
        <v>0</v>
      </c>
      <c r="N115" s="141" t="s">
        <v>147</v>
      </c>
    </row>
    <row r="116" spans="1:14" x14ac:dyDescent="0.2">
      <c r="A116" s="123" t="s">
        <v>460</v>
      </c>
      <c r="B116" s="237"/>
      <c r="C116" s="90"/>
      <c r="D116" s="90"/>
      <c r="E116" s="90"/>
      <c r="F116" s="90"/>
      <c r="G116" s="90"/>
      <c r="H116" s="332"/>
      <c r="I116" s="90"/>
      <c r="J116" s="90"/>
      <c r="K116" s="90"/>
      <c r="L116" s="90"/>
      <c r="M116" s="326"/>
      <c r="N116" s="338" t="s">
        <v>464</v>
      </c>
    </row>
    <row r="117" spans="1:14" x14ac:dyDescent="0.2">
      <c r="A117" t="s">
        <v>461</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293</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1"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9" t="s">
        <v>420</v>
      </c>
      <c r="J5" s="430"/>
      <c r="K5" s="430"/>
      <c r="L5" s="430"/>
      <c r="M5" s="430"/>
      <c r="N5" s="430"/>
      <c r="O5" s="430"/>
      <c r="P5" s="430"/>
      <c r="Q5" s="430"/>
      <c r="R5" s="430"/>
      <c r="S5" s="430"/>
      <c r="T5" s="430"/>
      <c r="U5" s="430"/>
      <c r="V5" s="430"/>
      <c r="W5" s="431"/>
      <c r="Y5" s="192"/>
      <c r="Z5" s="192"/>
      <c r="AA5" s="192"/>
      <c r="AB5" s="334"/>
    </row>
    <row r="6" spans="1:53" s="184" customFormat="1" ht="27.5" customHeight="1" x14ac:dyDescent="0.15">
      <c r="B6" s="418" t="s">
        <v>228</v>
      </c>
      <c r="C6" s="419"/>
      <c r="D6" s="419"/>
      <c r="E6" s="419"/>
      <c r="F6" s="419"/>
      <c r="G6" s="420"/>
      <c r="I6" s="432" t="s">
        <v>13</v>
      </c>
      <c r="J6" s="416" t="s">
        <v>406</v>
      </c>
      <c r="K6" s="416" t="s">
        <v>405</v>
      </c>
      <c r="L6" s="434" t="s">
        <v>215</v>
      </c>
      <c r="M6" s="435"/>
      <c r="N6" s="435"/>
      <c r="O6" s="435"/>
      <c r="P6" s="435"/>
      <c r="Q6" s="436"/>
      <c r="R6" s="421" t="s">
        <v>216</v>
      </c>
      <c r="S6" s="422"/>
      <c r="T6" s="422"/>
      <c r="U6" s="422"/>
      <c r="V6" s="422"/>
      <c r="W6" s="423"/>
      <c r="Y6" s="307"/>
      <c r="Z6" s="307"/>
      <c r="AA6" s="307"/>
      <c r="AB6" s="335"/>
    </row>
    <row r="7" spans="1:53" s="184" customFormat="1" ht="44" customHeight="1" x14ac:dyDescent="0.15">
      <c r="B7" s="193">
        <v>0</v>
      </c>
      <c r="C7" s="194">
        <v>0</v>
      </c>
      <c r="D7" s="194">
        <v>0</v>
      </c>
      <c r="E7" s="194">
        <v>0</v>
      </c>
      <c r="F7" s="194">
        <v>0</v>
      </c>
      <c r="G7" s="194">
        <f>SUM(C7:F7)</f>
        <v>0</v>
      </c>
      <c r="I7" s="433"/>
      <c r="J7" s="433"/>
      <c r="K7" s="433"/>
      <c r="L7" s="186" t="s">
        <v>407</v>
      </c>
      <c r="M7" s="186" t="s">
        <v>408</v>
      </c>
      <c r="N7" s="186" t="s">
        <v>409</v>
      </c>
      <c r="O7" s="186" t="s">
        <v>403</v>
      </c>
      <c r="P7" s="186" t="s">
        <v>404</v>
      </c>
      <c r="Q7" s="261" t="s">
        <v>222</v>
      </c>
      <c r="R7" s="187" t="s">
        <v>410</v>
      </c>
      <c r="S7" s="187" t="s">
        <v>411</v>
      </c>
      <c r="T7" s="187" t="s">
        <v>412</v>
      </c>
      <c r="U7" s="187" t="s">
        <v>413</v>
      </c>
      <c r="V7" s="187" t="s">
        <v>404</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398</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428</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24" t="s">
        <v>237</v>
      </c>
      <c r="C10" s="424"/>
      <c r="D10" s="424"/>
      <c r="E10" s="424"/>
      <c r="F10" s="424"/>
      <c r="G10" s="424"/>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427</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422</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399</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400</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5" t="s">
        <v>235</v>
      </c>
      <c r="D16" s="426"/>
      <c r="E16" s="426"/>
      <c r="F16" s="426"/>
      <c r="G16" s="427"/>
      <c r="I16" s="244" t="s">
        <v>401</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402</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8" t="s">
        <v>421</v>
      </c>
      <c r="J19" s="428"/>
      <c r="K19" s="428"/>
      <c r="L19" s="428"/>
      <c r="M19" s="428"/>
      <c r="N19" s="428"/>
      <c r="O19" s="428"/>
      <c r="P19" s="428"/>
      <c r="Q19" s="428"/>
      <c r="R19" s="428"/>
      <c r="S19" s="428"/>
      <c r="T19" s="428"/>
      <c r="U19" s="428"/>
      <c r="Z19" s="250"/>
      <c r="AA19" s="250"/>
      <c r="AB19" s="250"/>
      <c r="AC19" s="250"/>
    </row>
    <row r="20" spans="2:58" s="192" customFormat="1" ht="27" customHeight="1" x14ac:dyDescent="0.15">
      <c r="I20" s="416" t="s">
        <v>13</v>
      </c>
      <c r="J20" s="416" t="s">
        <v>213</v>
      </c>
      <c r="K20" s="416" t="s">
        <v>214</v>
      </c>
      <c r="L20" s="418" t="s">
        <v>215</v>
      </c>
      <c r="M20" s="419"/>
      <c r="N20" s="419"/>
      <c r="O20" s="419"/>
      <c r="P20" s="420"/>
      <c r="Q20" s="421" t="s">
        <v>216</v>
      </c>
      <c r="R20" s="422"/>
      <c r="S20" s="422"/>
      <c r="T20" s="422"/>
      <c r="U20" s="423"/>
      <c r="Z20" s="254"/>
      <c r="AA20" s="254"/>
      <c r="AB20" s="254"/>
      <c r="AC20" s="254"/>
    </row>
    <row r="21" spans="2:58" s="192" customFormat="1" ht="35" customHeight="1" x14ac:dyDescent="0.15">
      <c r="I21" s="417"/>
      <c r="J21" s="417"/>
      <c r="K21" s="41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398</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428</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422</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399</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425</v>
      </c>
      <c r="W28" s="256"/>
    </row>
    <row r="29" spans="2:58" s="192" customFormat="1" ht="14" x14ac:dyDescent="0.15">
      <c r="C29" s="287"/>
      <c r="D29" s="287"/>
      <c r="E29" s="287"/>
      <c r="F29" s="287"/>
      <c r="G29" s="287"/>
      <c r="I29" s="244" t="s">
        <v>400</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401</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402</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426</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303</v>
      </c>
    </row>
    <row r="3" spans="1:14" x14ac:dyDescent="0.2">
      <c r="A3" s="1" t="s">
        <v>309</v>
      </c>
    </row>
    <row r="4" spans="1:14" ht="29" customHeight="1" x14ac:dyDescent="0.2">
      <c r="A4" s="218" t="s">
        <v>304</v>
      </c>
      <c r="B4" s="218" t="s">
        <v>305</v>
      </c>
      <c r="C4" s="219" t="s">
        <v>306</v>
      </c>
      <c r="D4" s="219" t="s">
        <v>307</v>
      </c>
      <c r="F4" s="219" t="s">
        <v>305</v>
      </c>
      <c r="G4" s="219" t="s">
        <v>314</v>
      </c>
      <c r="H4" s="219" t="s">
        <v>315</v>
      </c>
    </row>
    <row r="5" spans="1:14" x14ac:dyDescent="0.2">
      <c r="A5" s="22" t="s">
        <v>308</v>
      </c>
      <c r="B5" s="22" t="s">
        <v>204</v>
      </c>
      <c r="C5" s="23">
        <v>12534</v>
      </c>
      <c r="D5" s="23"/>
      <c r="F5" s="21" t="s">
        <v>204</v>
      </c>
      <c r="G5" s="30">
        <f>SUMIFS($C$5:$C$13,$B$5:$B$13,F5)</f>
        <v>12534</v>
      </c>
      <c r="H5" s="222">
        <f>G5/G$8</f>
        <v>1.3163339249519528E-2</v>
      </c>
    </row>
    <row r="6" spans="1:14" x14ac:dyDescent="0.2">
      <c r="A6" s="22" t="s">
        <v>308</v>
      </c>
      <c r="B6" s="22" t="s">
        <v>203</v>
      </c>
      <c r="C6" s="23">
        <v>103535</v>
      </c>
      <c r="D6" s="23"/>
      <c r="F6" s="21" t="s">
        <v>203</v>
      </c>
      <c r="G6" s="30">
        <f t="shared" ref="G6:G7" si="0">SUMIFS($C$5:$C$13,$B$5:$B$13,F6)</f>
        <v>783134</v>
      </c>
      <c r="H6" s="222">
        <f t="shared" ref="H6:H8" si="1">G6/G$8</f>
        <v>0.82245560234827086</v>
      </c>
    </row>
    <row r="7" spans="1:14" x14ac:dyDescent="0.2">
      <c r="A7" s="22" t="s">
        <v>308</v>
      </c>
      <c r="B7" s="22" t="s">
        <v>202</v>
      </c>
      <c r="C7" s="23">
        <v>16720</v>
      </c>
      <c r="D7" s="23"/>
      <c r="F7" s="21" t="s">
        <v>202</v>
      </c>
      <c r="G7" s="30">
        <f t="shared" si="0"/>
        <v>156522</v>
      </c>
      <c r="H7" s="222">
        <f t="shared" si="1"/>
        <v>0.16438105840220965</v>
      </c>
    </row>
    <row r="8" spans="1:14" x14ac:dyDescent="0.2">
      <c r="A8" s="22" t="s">
        <v>310</v>
      </c>
      <c r="B8" s="22" t="s">
        <v>202</v>
      </c>
      <c r="C8" s="23">
        <v>11340</v>
      </c>
      <c r="D8" s="23"/>
      <c r="F8" s="225" t="s">
        <v>25</v>
      </c>
      <c r="G8" s="223">
        <f>SUM(G5:G7)</f>
        <v>952190</v>
      </c>
      <c r="H8" s="224">
        <f t="shared" si="1"/>
        <v>1</v>
      </c>
    </row>
    <row r="9" spans="1:14" x14ac:dyDescent="0.2">
      <c r="A9" s="22" t="s">
        <v>311</v>
      </c>
      <c r="B9" s="22" t="s">
        <v>203</v>
      </c>
      <c r="C9" s="23">
        <v>662402</v>
      </c>
      <c r="D9" s="23"/>
    </row>
    <row r="10" spans="1:14" x14ac:dyDescent="0.2">
      <c r="A10" s="22" t="s">
        <v>311</v>
      </c>
      <c r="B10" s="22" t="s">
        <v>202</v>
      </c>
      <c r="C10" s="23">
        <v>56846</v>
      </c>
      <c r="D10" s="23"/>
      <c r="G10" s="248"/>
    </row>
    <row r="11" spans="1:14" x14ac:dyDescent="0.2">
      <c r="A11" s="22" t="s">
        <v>312</v>
      </c>
      <c r="B11" s="22" t="s">
        <v>203</v>
      </c>
      <c r="C11" s="23">
        <v>6350</v>
      </c>
      <c r="D11" s="23"/>
    </row>
    <row r="12" spans="1:14" x14ac:dyDescent="0.2">
      <c r="A12" s="22" t="s">
        <v>312</v>
      </c>
      <c r="B12" s="22" t="s">
        <v>202</v>
      </c>
      <c r="C12" s="23">
        <v>71616</v>
      </c>
      <c r="D12" s="23"/>
      <c r="I12" s="275"/>
      <c r="J12" s="275"/>
      <c r="K12" s="275"/>
      <c r="L12" s="275"/>
      <c r="M12" s="275"/>
      <c r="N12" s="275"/>
    </row>
    <row r="13" spans="1:14" x14ac:dyDescent="0.2">
      <c r="A13" s="22" t="s">
        <v>313</v>
      </c>
      <c r="B13" s="22" t="s">
        <v>203</v>
      </c>
      <c r="C13" s="23">
        <v>10847</v>
      </c>
      <c r="D13" s="23">
        <v>22928</v>
      </c>
    </row>
    <row r="14" spans="1:14" s="1" customFormat="1" x14ac:dyDescent="0.2">
      <c r="A14" s="220" t="s">
        <v>25</v>
      </c>
      <c r="B14" s="220"/>
      <c r="C14" s="221">
        <f>SUM(C5:C13)</f>
        <v>952190</v>
      </c>
      <c r="D14" s="221">
        <f>SUM(D5:D13)</f>
        <v>22928</v>
      </c>
    </row>
    <row r="17" spans="1:3" x14ac:dyDescent="0.2">
      <c r="A17" s="1" t="s">
        <v>316</v>
      </c>
    </row>
    <row r="18" spans="1:3" x14ac:dyDescent="0.2">
      <c r="A18" s="218" t="s">
        <v>317</v>
      </c>
      <c r="B18" s="226" t="s">
        <v>318</v>
      </c>
      <c r="C18" s="226" t="s">
        <v>319</v>
      </c>
    </row>
    <row r="19" spans="1:3" x14ac:dyDescent="0.2">
      <c r="A19" s="22" t="s">
        <v>320</v>
      </c>
      <c r="B19" s="23">
        <v>769208</v>
      </c>
      <c r="C19" s="23">
        <v>441381</v>
      </c>
    </row>
    <row r="20" spans="1:3" x14ac:dyDescent="0.2">
      <c r="A20" s="22" t="s">
        <v>321</v>
      </c>
      <c r="B20" s="23">
        <v>15340</v>
      </c>
      <c r="C20" s="23">
        <v>9017</v>
      </c>
    </row>
    <row r="21" spans="1:3" x14ac:dyDescent="0.2">
      <c r="A21" s="22" t="s">
        <v>322</v>
      </c>
      <c r="B21" s="23">
        <v>2844</v>
      </c>
      <c r="C21" s="23">
        <v>1698</v>
      </c>
    </row>
    <row r="22" spans="1:3" x14ac:dyDescent="0.2">
      <c r="A22" s="22" t="s">
        <v>323</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8" t="e">
        <f>#REF!</f>
        <v>#REF!</v>
      </c>
      <c r="B1" s="438"/>
      <c r="C1" s="438"/>
      <c r="D1" s="438"/>
      <c r="E1" s="438"/>
      <c r="F1" s="438"/>
      <c r="G1" s="438"/>
    </row>
    <row r="2" spans="1:14" x14ac:dyDescent="0.2">
      <c r="A2" s="1" t="s">
        <v>181</v>
      </c>
      <c r="B2" s="1"/>
    </row>
    <row r="3" spans="1:14" ht="32.25" customHeight="1" x14ac:dyDescent="0.2">
      <c r="A3" s="404" t="s">
        <v>177</v>
      </c>
      <c r="B3" s="404"/>
      <c r="C3" s="404"/>
      <c r="D3" s="404"/>
      <c r="E3" s="404"/>
      <c r="F3" s="404"/>
      <c r="G3" s="404"/>
      <c r="H3" s="82"/>
      <c r="I3" s="82"/>
      <c r="J3" s="82"/>
      <c r="K3" s="82"/>
      <c r="N3" s="134" t="s">
        <v>156</v>
      </c>
    </row>
    <row r="4" spans="1:14" x14ac:dyDescent="0.2">
      <c r="A4" s="124" t="s">
        <v>109</v>
      </c>
      <c r="B4" s="124" t="s">
        <v>19</v>
      </c>
      <c r="C4" s="405" t="s">
        <v>20</v>
      </c>
      <c r="D4" s="406"/>
      <c r="E4" s="406"/>
      <c r="F4" s="406"/>
      <c r="G4" s="407"/>
      <c r="N4" s="136" t="s">
        <v>128</v>
      </c>
    </row>
    <row r="5" spans="1:14" x14ac:dyDescent="0.2">
      <c r="A5" s="88" t="s">
        <v>16</v>
      </c>
      <c r="B5" s="111"/>
      <c r="C5" s="408"/>
      <c r="D5" s="403"/>
      <c r="E5" s="403"/>
      <c r="F5" s="403"/>
      <c r="G5" s="403"/>
      <c r="N5" s="139"/>
    </row>
    <row r="6" spans="1:14" x14ac:dyDescent="0.2">
      <c r="A6" s="88" t="s">
        <v>17</v>
      </c>
      <c r="B6" s="111"/>
      <c r="C6" s="408"/>
      <c r="D6" s="403"/>
      <c r="E6" s="403"/>
      <c r="F6" s="403"/>
      <c r="G6" s="403"/>
      <c r="N6" s="139"/>
    </row>
    <row r="7" spans="1:14" x14ac:dyDescent="0.2">
      <c r="A7" s="88" t="s">
        <v>18</v>
      </c>
      <c r="B7" s="111"/>
      <c r="C7" s="408"/>
      <c r="D7" s="403"/>
      <c r="E7" s="403"/>
      <c r="F7" s="403"/>
      <c r="G7" s="403"/>
      <c r="N7" s="139"/>
    </row>
    <row r="8" spans="1:14" x14ac:dyDescent="0.2">
      <c r="A8" s="111" t="s">
        <v>39</v>
      </c>
      <c r="B8" s="88"/>
      <c r="C8" s="403"/>
      <c r="D8" s="403"/>
      <c r="E8" s="403"/>
      <c r="F8" s="403"/>
      <c r="G8" s="403"/>
      <c r="N8" s="139"/>
    </row>
    <row r="9" spans="1:14" x14ac:dyDescent="0.2">
      <c r="A9" s="111" t="s">
        <v>162</v>
      </c>
      <c r="B9" s="88"/>
      <c r="C9" s="409"/>
      <c r="D9" s="409"/>
      <c r="E9" s="409"/>
      <c r="F9" s="409"/>
      <c r="G9" s="409"/>
      <c r="N9" s="139"/>
    </row>
    <row r="10" spans="1:14" x14ac:dyDescent="0.2">
      <c r="A10" s="112" t="s">
        <v>40</v>
      </c>
      <c r="B10" s="112"/>
      <c r="C10" s="437"/>
      <c r="D10" s="437"/>
      <c r="E10" s="437"/>
      <c r="F10" s="437"/>
      <c r="G10" s="437"/>
      <c r="N10" s="139"/>
    </row>
    <row r="11" spans="1:14" x14ac:dyDescent="0.2">
      <c r="A11" s="13"/>
      <c r="B11" s="2"/>
      <c r="C11"/>
      <c r="N11" s="139"/>
    </row>
    <row r="12" spans="1:14" x14ac:dyDescent="0.2">
      <c r="A12" s="15" t="s">
        <v>110</v>
      </c>
      <c r="B12" s="410" t="s">
        <v>112</v>
      </c>
      <c r="C12" s="411"/>
      <c r="D12" s="412"/>
      <c r="N12" s="138" t="s">
        <v>129</v>
      </c>
    </row>
    <row r="13" spans="1:14" x14ac:dyDescent="0.2">
      <c r="B13" s="413" t="s">
        <v>113</v>
      </c>
      <c r="C13" s="414"/>
      <c r="D13" s="415"/>
      <c r="N13" s="139"/>
    </row>
    <row r="14" spans="1:14" x14ac:dyDescent="0.2">
      <c r="B14" s="397" t="s">
        <v>114</v>
      </c>
      <c r="C14" s="398"/>
      <c r="D14" s="399"/>
      <c r="N14" s="139"/>
    </row>
    <row r="15" spans="1:14" x14ac:dyDescent="0.2">
      <c r="B15" s="400" t="s">
        <v>21</v>
      </c>
      <c r="C15" s="401"/>
      <c r="D15" s="402"/>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9" t="s">
        <v>59</v>
      </c>
      <c r="E3" s="439"/>
      <c r="F3" s="439" t="s">
        <v>60</v>
      </c>
      <c r="G3" s="439"/>
      <c r="H3" s="439"/>
      <c r="I3" s="439" t="s">
        <v>61</v>
      </c>
      <c r="J3" s="439"/>
      <c r="K3" s="439"/>
      <c r="L3" s="131"/>
      <c r="M3" s="439" t="s">
        <v>18</v>
      </c>
      <c r="N3" s="439"/>
      <c r="O3" s="439"/>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0" t="s">
        <v>116</v>
      </c>
      <c r="B3" s="440"/>
      <c r="C3" s="440"/>
      <c r="D3" s="125" t="s">
        <v>115</v>
      </c>
    </row>
    <row r="4" spans="1:4" ht="30" customHeight="1" x14ac:dyDescent="0.2">
      <c r="A4" s="441" t="s">
        <v>112</v>
      </c>
      <c r="B4" s="441"/>
      <c r="C4" s="441"/>
      <c r="D4" s="172" t="s">
        <v>182</v>
      </c>
    </row>
    <row r="5" spans="1:4" ht="48" x14ac:dyDescent="0.2">
      <c r="A5" s="445" t="s">
        <v>183</v>
      </c>
      <c r="B5" s="442"/>
      <c r="C5" s="442"/>
      <c r="D5" s="173" t="s">
        <v>201</v>
      </c>
    </row>
    <row r="6" spans="1:4" ht="57.5" customHeight="1" x14ac:dyDescent="0.2">
      <c r="A6" s="443" t="s">
        <v>184</v>
      </c>
      <c r="B6" s="443"/>
      <c r="C6" s="443"/>
      <c r="D6" s="174" t="s">
        <v>185</v>
      </c>
    </row>
    <row r="7" spans="1:4" ht="32" x14ac:dyDescent="0.2">
      <c r="A7" s="444" t="s">
        <v>21</v>
      </c>
      <c r="B7" s="444"/>
      <c r="C7" s="444"/>
      <c r="D7" s="175" t="s">
        <v>186</v>
      </c>
    </row>
    <row r="11" spans="1:4" x14ac:dyDescent="0.2">
      <c r="A11" s="441" t="s">
        <v>112</v>
      </c>
      <c r="B11" s="441"/>
      <c r="C11" s="441"/>
    </row>
    <row r="12" spans="1:4" x14ac:dyDescent="0.2">
      <c r="A12" s="442" t="s">
        <v>113</v>
      </c>
      <c r="B12" s="442"/>
      <c r="C12" s="442"/>
    </row>
    <row r="13" spans="1:4" x14ac:dyDescent="0.2">
      <c r="A13" s="443" t="s">
        <v>114</v>
      </c>
      <c r="B13" s="443"/>
      <c r="C13" s="443"/>
    </row>
    <row r="14" spans="1:4" x14ac:dyDescent="0.2">
      <c r="A14" s="444" t="s">
        <v>21</v>
      </c>
      <c r="B14" s="444"/>
      <c r="C14" s="444"/>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458</v>
      </c>
    </row>
    <row r="2" spans="1:6" x14ac:dyDescent="0.2">
      <c r="A2" t="s">
        <v>457</v>
      </c>
    </row>
    <row r="3" spans="1:6" ht="32" customHeight="1" x14ac:dyDescent="0.2">
      <c r="A3" s="36" t="s">
        <v>457</v>
      </c>
      <c r="B3" s="35" t="s">
        <v>456</v>
      </c>
      <c r="C3" s="35" t="s">
        <v>455</v>
      </c>
      <c r="D3" s="35" t="s">
        <v>454</v>
      </c>
      <c r="E3" s="35" t="s">
        <v>453</v>
      </c>
      <c r="F3" s="321"/>
    </row>
    <row r="4" spans="1:6" ht="17.5" customHeight="1" x14ac:dyDescent="0.2">
      <c r="A4" s="323" t="s">
        <v>444</v>
      </c>
      <c r="B4" s="322"/>
      <c r="C4" s="322"/>
      <c r="D4" s="322"/>
      <c r="E4" s="322"/>
      <c r="F4" s="321"/>
    </row>
    <row r="5" spans="1:6" ht="17.5" customHeight="1" x14ac:dyDescent="0.2">
      <c r="A5" s="319" t="s">
        <v>452</v>
      </c>
      <c r="B5" s="320"/>
      <c r="C5" s="320"/>
      <c r="D5" s="320"/>
      <c r="E5" s="319"/>
      <c r="F5" s="321"/>
    </row>
    <row r="6" spans="1:6" ht="17.5" customHeight="1" x14ac:dyDescent="0.2">
      <c r="A6" s="37" t="s">
        <v>451</v>
      </c>
      <c r="B6" s="38" t="s">
        <v>450</v>
      </c>
      <c r="C6" s="311">
        <v>0.17499999999999999</v>
      </c>
      <c r="D6" s="38" t="s">
        <v>449</v>
      </c>
      <c r="E6" s="309">
        <v>29.8</v>
      </c>
      <c r="F6" s="321"/>
    </row>
    <row r="7" spans="1:6" ht="17.5" customHeight="1" x14ac:dyDescent="0.2">
      <c r="A7" s="37" t="s">
        <v>447</v>
      </c>
      <c r="B7" s="38">
        <v>2023</v>
      </c>
      <c r="C7" s="311">
        <f>(2517+4633+15091+15571)/1000000</f>
        <v>3.7811999999999998E-2</v>
      </c>
      <c r="D7" s="38" t="s">
        <v>448</v>
      </c>
      <c r="E7" s="309">
        <f>0.992+1.205+5.344+8.335</f>
        <v>15.876000000000001</v>
      </c>
      <c r="F7" s="321"/>
    </row>
    <row r="8" spans="1:6" ht="17.5" customHeight="1" x14ac:dyDescent="0.2">
      <c r="A8" s="37" t="s">
        <v>447</v>
      </c>
      <c r="B8" s="38" t="s">
        <v>446</v>
      </c>
      <c r="C8" s="311">
        <v>2.2116E-2</v>
      </c>
      <c r="D8" s="38" t="s">
        <v>445</v>
      </c>
      <c r="E8" s="309">
        <v>4.5599999999999996</v>
      </c>
      <c r="F8" s="321"/>
    </row>
    <row r="9" spans="1:6" s="57" customFormat="1" x14ac:dyDescent="0.2">
      <c r="A9" s="319" t="s">
        <v>444</v>
      </c>
      <c r="B9" s="320"/>
      <c r="C9" s="320"/>
      <c r="D9" s="320"/>
      <c r="E9" s="319"/>
    </row>
    <row r="10" spans="1:6" s="57" customFormat="1" ht="16" x14ac:dyDescent="0.2">
      <c r="A10" s="37" t="s">
        <v>443</v>
      </c>
      <c r="B10" s="38" t="s">
        <v>442</v>
      </c>
      <c r="C10" s="311">
        <v>4.0999999999999996</v>
      </c>
      <c r="D10" s="38" t="s">
        <v>439</v>
      </c>
      <c r="E10" s="309" t="s">
        <v>439</v>
      </c>
      <c r="F10" s="318"/>
    </row>
    <row r="11" spans="1:6" s="57" customFormat="1" ht="16" x14ac:dyDescent="0.2">
      <c r="A11" s="37" t="s">
        <v>441</v>
      </c>
      <c r="B11" s="38" t="s">
        <v>440</v>
      </c>
      <c r="C11" s="311">
        <v>0.63121000000000005</v>
      </c>
      <c r="D11" s="38" t="s">
        <v>439</v>
      </c>
      <c r="E11" s="309" t="s">
        <v>439</v>
      </c>
      <c r="F11" s="318"/>
    </row>
    <row r="12" spans="1:6" s="56" customFormat="1" ht="16" x14ac:dyDescent="0.2">
      <c r="A12" s="317" t="s">
        <v>438</v>
      </c>
      <c r="B12" s="315"/>
      <c r="C12" s="316"/>
      <c r="D12" s="315"/>
      <c r="E12" s="314"/>
      <c r="F12" s="313"/>
    </row>
    <row r="13" spans="1:6" ht="16" x14ac:dyDescent="0.2">
      <c r="A13" s="37" t="s">
        <v>437</v>
      </c>
      <c r="B13" s="21">
        <v>2021</v>
      </c>
      <c r="C13" s="21" t="s">
        <v>434</v>
      </c>
      <c r="D13" s="38" t="s">
        <v>436</v>
      </c>
      <c r="E13" s="21" t="s">
        <v>434</v>
      </c>
    </row>
    <row r="14" spans="1:6" ht="16" x14ac:dyDescent="0.2">
      <c r="A14" s="37" t="s">
        <v>435</v>
      </c>
      <c r="B14" s="21">
        <v>2021</v>
      </c>
      <c r="C14" s="21" t="s">
        <v>434</v>
      </c>
      <c r="D14" s="312">
        <v>2000</v>
      </c>
      <c r="E14" s="21" t="s">
        <v>434</v>
      </c>
    </row>
    <row r="15" spans="1:6" ht="16" x14ac:dyDescent="0.2">
      <c r="A15" s="37" t="s">
        <v>433</v>
      </c>
      <c r="B15" s="38" t="s">
        <v>432</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389</v>
      </c>
    </row>
    <row r="2" spans="1:20" ht="33" customHeight="1" x14ac:dyDescent="0.2">
      <c r="A2" s="446" t="s">
        <v>417</v>
      </c>
      <c r="B2" s="447"/>
      <c r="C2" s="447"/>
      <c r="D2" s="447"/>
      <c r="E2" s="447"/>
      <c r="F2" s="447"/>
      <c r="G2" s="447"/>
      <c r="H2" s="447"/>
      <c r="I2" s="447"/>
      <c r="J2" s="447"/>
      <c r="K2" s="447"/>
      <c r="L2" s="447"/>
      <c r="M2" s="447"/>
      <c r="N2" s="447"/>
      <c r="O2" s="447"/>
      <c r="P2" s="447"/>
      <c r="Q2" s="447"/>
      <c r="R2" s="447"/>
      <c r="S2" s="447"/>
      <c r="T2" s="447"/>
    </row>
    <row r="3" spans="1:20" ht="16" thickBot="1" x14ac:dyDescent="0.25"/>
    <row r="4" spans="1:20" ht="32" x14ac:dyDescent="0.2">
      <c r="A4" s="262" t="s">
        <v>348</v>
      </c>
      <c r="B4" s="263" t="s">
        <v>349</v>
      </c>
      <c r="C4" s="264" t="s">
        <v>416</v>
      </c>
      <c r="D4" s="265" t="s">
        <v>350</v>
      </c>
      <c r="E4" s="265" t="s">
        <v>351</v>
      </c>
      <c r="F4" s="265" t="s">
        <v>352</v>
      </c>
      <c r="G4" s="265" t="s">
        <v>353</v>
      </c>
      <c r="H4" s="265" t="s">
        <v>354</v>
      </c>
      <c r="I4" s="266" t="s">
        <v>355</v>
      </c>
    </row>
    <row r="5" spans="1:20" x14ac:dyDescent="0.2">
      <c r="A5" s="267" t="s">
        <v>356</v>
      </c>
      <c r="B5" s="237">
        <v>64</v>
      </c>
      <c r="C5">
        <v>0</v>
      </c>
      <c r="D5" s="2">
        <v>8</v>
      </c>
      <c r="E5">
        <v>122</v>
      </c>
      <c r="F5">
        <v>0</v>
      </c>
      <c r="G5">
        <v>0</v>
      </c>
      <c r="H5">
        <v>0</v>
      </c>
      <c r="I5" s="238">
        <f t="shared" ref="I5:I26" si="0">AVERAGE(F5:H5)</f>
        <v>0</v>
      </c>
    </row>
    <row r="6" spans="1:20" x14ac:dyDescent="0.2">
      <c r="A6" s="268" t="s">
        <v>357</v>
      </c>
      <c r="B6" s="237">
        <v>112</v>
      </c>
      <c r="C6" s="237">
        <v>11.6</v>
      </c>
      <c r="D6" s="2" t="s">
        <v>358</v>
      </c>
      <c r="E6">
        <v>81</v>
      </c>
      <c r="F6">
        <v>2.8</v>
      </c>
      <c r="G6">
        <v>4.7</v>
      </c>
      <c r="H6">
        <v>4.2</v>
      </c>
      <c r="I6" s="238">
        <f t="shared" si="0"/>
        <v>3.9</v>
      </c>
    </row>
    <row r="7" spans="1:20" x14ac:dyDescent="0.2">
      <c r="A7" s="268" t="s">
        <v>359</v>
      </c>
      <c r="B7" s="237">
        <v>100</v>
      </c>
      <c r="C7">
        <v>14.1</v>
      </c>
      <c r="D7" s="2" t="s">
        <v>358</v>
      </c>
      <c r="E7">
        <v>13</v>
      </c>
      <c r="F7">
        <v>10</v>
      </c>
      <c r="G7">
        <v>-1.3</v>
      </c>
      <c r="H7">
        <v>5.4</v>
      </c>
      <c r="I7" s="238">
        <f t="shared" si="0"/>
        <v>4.7</v>
      </c>
    </row>
    <row r="8" spans="1:20" x14ac:dyDescent="0.2">
      <c r="A8" s="268" t="s">
        <v>360</v>
      </c>
      <c r="B8" s="237">
        <v>97</v>
      </c>
      <c r="C8">
        <v>14.1</v>
      </c>
      <c r="D8" s="2" t="s">
        <v>361</v>
      </c>
      <c r="E8">
        <v>147</v>
      </c>
      <c r="F8">
        <v>3.8</v>
      </c>
      <c r="G8">
        <v>6.3</v>
      </c>
      <c r="H8">
        <v>4</v>
      </c>
      <c r="I8" s="238">
        <f t="shared" si="0"/>
        <v>4.7</v>
      </c>
      <c r="J8" s="270" t="s">
        <v>419</v>
      </c>
    </row>
    <row r="9" spans="1:20" x14ac:dyDescent="0.2">
      <c r="A9" s="268" t="s">
        <v>362</v>
      </c>
      <c r="B9" s="237">
        <v>112</v>
      </c>
      <c r="C9">
        <v>16.5</v>
      </c>
      <c r="D9" s="2" t="s">
        <v>363</v>
      </c>
      <c r="E9">
        <v>103</v>
      </c>
      <c r="F9">
        <v>5.9</v>
      </c>
      <c r="G9">
        <v>5.0999999999999996</v>
      </c>
      <c r="H9">
        <v>5.5</v>
      </c>
      <c r="I9" s="238">
        <f t="shared" si="0"/>
        <v>5.5</v>
      </c>
      <c r="J9" s="270" t="s">
        <v>418</v>
      </c>
    </row>
    <row r="10" spans="1:20" x14ac:dyDescent="0.2">
      <c r="A10" s="268" t="s">
        <v>364</v>
      </c>
      <c r="B10" s="237">
        <v>100</v>
      </c>
      <c r="C10">
        <v>16.600000000000001</v>
      </c>
      <c r="D10" s="2" t="s">
        <v>365</v>
      </c>
      <c r="E10">
        <v>26</v>
      </c>
      <c r="F10">
        <v>5.5</v>
      </c>
      <c r="G10">
        <v>5.5</v>
      </c>
      <c r="H10">
        <v>5.5</v>
      </c>
      <c r="I10" s="238">
        <f t="shared" si="0"/>
        <v>5.5</v>
      </c>
    </row>
    <row r="11" spans="1:20" x14ac:dyDescent="0.2">
      <c r="A11" s="268" t="s">
        <v>366</v>
      </c>
      <c r="B11" s="237">
        <v>112</v>
      </c>
      <c r="C11" s="237">
        <v>16.600000000000001</v>
      </c>
      <c r="D11" s="2" t="s">
        <v>358</v>
      </c>
      <c r="E11">
        <v>81</v>
      </c>
      <c r="F11">
        <v>3.8</v>
      </c>
      <c r="G11">
        <v>6.6</v>
      </c>
      <c r="H11">
        <v>6.1</v>
      </c>
      <c r="I11" s="238">
        <f t="shared" si="0"/>
        <v>5.5</v>
      </c>
      <c r="J11" s="270" t="s">
        <v>418</v>
      </c>
    </row>
    <row r="12" spans="1:20" x14ac:dyDescent="0.2">
      <c r="A12" s="268" t="s">
        <v>367</v>
      </c>
      <c r="B12" s="237">
        <v>100</v>
      </c>
      <c r="C12" s="237">
        <v>17.8</v>
      </c>
      <c r="D12" s="2" t="s">
        <v>368</v>
      </c>
      <c r="E12">
        <v>31</v>
      </c>
      <c r="F12">
        <v>5.9</v>
      </c>
      <c r="G12">
        <v>5.9</v>
      </c>
      <c r="H12">
        <v>5.9</v>
      </c>
      <c r="I12" s="238">
        <f t="shared" si="0"/>
        <v>5.9000000000000012</v>
      </c>
    </row>
    <row r="13" spans="1:20" x14ac:dyDescent="0.2">
      <c r="A13" s="268" t="s">
        <v>369</v>
      </c>
      <c r="B13" s="237">
        <v>100</v>
      </c>
      <c r="C13">
        <v>18</v>
      </c>
      <c r="D13" s="2" t="s">
        <v>370</v>
      </c>
      <c r="E13">
        <v>18</v>
      </c>
      <c r="F13">
        <v>11</v>
      </c>
      <c r="G13">
        <v>5.6</v>
      </c>
      <c r="H13">
        <v>8.1</v>
      </c>
      <c r="I13" s="238">
        <f t="shared" si="0"/>
        <v>8.2333333333333343</v>
      </c>
    </row>
    <row r="14" spans="1:20" x14ac:dyDescent="0.2">
      <c r="A14" s="268" t="s">
        <v>371</v>
      </c>
      <c r="B14" s="237">
        <v>112</v>
      </c>
      <c r="C14" s="237">
        <v>19.3</v>
      </c>
      <c r="D14" s="2" t="s">
        <v>358</v>
      </c>
      <c r="E14">
        <v>81</v>
      </c>
      <c r="F14">
        <v>4.4000000000000004</v>
      </c>
      <c r="G14">
        <v>7.8</v>
      </c>
      <c r="H14">
        <v>7.2</v>
      </c>
      <c r="I14" s="238">
        <f t="shared" si="0"/>
        <v>6.4666666666666659</v>
      </c>
    </row>
    <row r="15" spans="1:20" x14ac:dyDescent="0.2">
      <c r="A15" s="268" t="s">
        <v>372</v>
      </c>
      <c r="B15" s="237">
        <v>100</v>
      </c>
      <c r="C15">
        <v>20.399999999999999</v>
      </c>
      <c r="D15" s="2" t="s">
        <v>373</v>
      </c>
      <c r="E15">
        <v>48</v>
      </c>
      <c r="F15">
        <v>5.9</v>
      </c>
      <c r="G15">
        <v>5.9</v>
      </c>
      <c r="H15">
        <v>8.5</v>
      </c>
      <c r="I15" s="238">
        <f t="shared" si="0"/>
        <v>6.7666666666666666</v>
      </c>
    </row>
    <row r="16" spans="1:20" x14ac:dyDescent="0.2">
      <c r="A16" s="268" t="s">
        <v>374</v>
      </c>
      <c r="B16" s="237">
        <v>100</v>
      </c>
      <c r="C16" s="237">
        <v>20.399999999999999</v>
      </c>
      <c r="D16" s="2" t="s">
        <v>375</v>
      </c>
      <c r="E16">
        <v>45</v>
      </c>
      <c r="F16">
        <v>8.3000000000000007</v>
      </c>
      <c r="G16">
        <v>6.6</v>
      </c>
      <c r="H16">
        <v>5.5</v>
      </c>
      <c r="I16" s="238">
        <f t="shared" si="0"/>
        <v>6.8</v>
      </c>
    </row>
    <row r="17" spans="1:9" x14ac:dyDescent="0.2">
      <c r="A17" s="268" t="s">
        <v>376</v>
      </c>
      <c r="B17" s="237">
        <v>100</v>
      </c>
      <c r="C17" s="237">
        <v>20.5</v>
      </c>
      <c r="D17" s="2" t="s">
        <v>377</v>
      </c>
      <c r="E17">
        <v>2</v>
      </c>
      <c r="F17">
        <v>8.6</v>
      </c>
      <c r="G17">
        <v>5.9</v>
      </c>
      <c r="H17">
        <v>5.9</v>
      </c>
      <c r="I17" s="238">
        <f t="shared" si="0"/>
        <v>6.8</v>
      </c>
    </row>
    <row r="18" spans="1:9" x14ac:dyDescent="0.2">
      <c r="A18" s="268" t="s">
        <v>378</v>
      </c>
      <c r="B18" s="237">
        <v>1</v>
      </c>
      <c r="C18">
        <v>20.9</v>
      </c>
      <c r="D18" s="2" t="s">
        <v>368</v>
      </c>
      <c r="E18">
        <v>430</v>
      </c>
      <c r="F18">
        <v>6.4</v>
      </c>
      <c r="G18">
        <v>8.4</v>
      </c>
      <c r="H18">
        <v>6.1</v>
      </c>
      <c r="I18" s="238">
        <f t="shared" si="0"/>
        <v>6.9666666666666659</v>
      </c>
    </row>
    <row r="19" spans="1:9" x14ac:dyDescent="0.2">
      <c r="A19" s="268" t="s">
        <v>379</v>
      </c>
      <c r="B19" s="237">
        <v>1</v>
      </c>
      <c r="C19">
        <v>20.9</v>
      </c>
      <c r="D19" s="2" t="s">
        <v>368</v>
      </c>
      <c r="E19">
        <v>430</v>
      </c>
      <c r="F19">
        <v>6.4</v>
      </c>
      <c r="G19">
        <v>8.4</v>
      </c>
      <c r="H19">
        <v>6.1</v>
      </c>
      <c r="I19" s="238">
        <f t="shared" si="0"/>
        <v>6.9666666666666659</v>
      </c>
    </row>
    <row r="20" spans="1:9" x14ac:dyDescent="0.2">
      <c r="A20" s="268" t="s">
        <v>380</v>
      </c>
      <c r="B20" s="237">
        <v>112</v>
      </c>
      <c r="C20" s="237">
        <v>21.7</v>
      </c>
      <c r="D20" s="2" t="s">
        <v>358</v>
      </c>
      <c r="E20">
        <v>81</v>
      </c>
      <c r="F20">
        <v>4.9000000000000004</v>
      </c>
      <c r="G20">
        <v>8.6999999999999993</v>
      </c>
      <c r="H20">
        <v>8.1</v>
      </c>
      <c r="I20" s="238">
        <f t="shared" si="0"/>
        <v>7.2333333333333334</v>
      </c>
    </row>
    <row r="21" spans="1:9" x14ac:dyDescent="0.2">
      <c r="A21" s="268" t="s">
        <v>381</v>
      </c>
      <c r="B21" s="237">
        <v>112</v>
      </c>
      <c r="C21" s="237">
        <v>21.8</v>
      </c>
      <c r="D21" s="2" t="s">
        <v>358</v>
      </c>
      <c r="E21">
        <v>81</v>
      </c>
      <c r="F21">
        <v>5</v>
      </c>
      <c r="G21">
        <v>8.6999999999999993</v>
      </c>
      <c r="H21">
        <v>8.1</v>
      </c>
      <c r="I21" s="238">
        <f t="shared" si="0"/>
        <v>7.2666666666666657</v>
      </c>
    </row>
    <row r="22" spans="1:9" x14ac:dyDescent="0.2">
      <c r="A22" s="268" t="s">
        <v>382</v>
      </c>
      <c r="B22" s="237">
        <v>112</v>
      </c>
      <c r="C22" s="237">
        <v>24.2</v>
      </c>
      <c r="D22" s="2" t="s">
        <v>383</v>
      </c>
      <c r="E22">
        <v>80</v>
      </c>
      <c r="F22">
        <v>5.5</v>
      </c>
      <c r="G22">
        <v>9.6999999999999993</v>
      </c>
      <c r="H22">
        <v>9</v>
      </c>
      <c r="I22" s="238">
        <f t="shared" si="0"/>
        <v>8.0666666666666664</v>
      </c>
    </row>
    <row r="23" spans="1:9" x14ac:dyDescent="0.2">
      <c r="A23" s="268" t="s">
        <v>384</v>
      </c>
      <c r="B23" s="237">
        <v>100</v>
      </c>
      <c r="C23" s="237">
        <v>24.8</v>
      </c>
      <c r="D23" s="2" t="s">
        <v>385</v>
      </c>
      <c r="E23">
        <v>5</v>
      </c>
      <c r="F23">
        <v>8.4</v>
      </c>
      <c r="G23">
        <v>5.9</v>
      </c>
      <c r="H23">
        <v>10.5</v>
      </c>
      <c r="I23" s="238">
        <f t="shared" si="0"/>
        <v>8.2666666666666675</v>
      </c>
    </row>
    <row r="24" spans="1:9" x14ac:dyDescent="0.2">
      <c r="A24" s="268" t="s">
        <v>386</v>
      </c>
      <c r="B24" s="237">
        <v>1</v>
      </c>
      <c r="C24" s="237">
        <v>26.1</v>
      </c>
      <c r="D24" s="239" t="s">
        <v>368</v>
      </c>
      <c r="E24" s="237">
        <v>97</v>
      </c>
      <c r="F24" s="237">
        <v>5.9</v>
      </c>
      <c r="G24" s="237">
        <v>10.5</v>
      </c>
      <c r="H24" s="237">
        <v>9.6</v>
      </c>
      <c r="I24" s="238">
        <f t="shared" si="0"/>
        <v>8.6666666666666661</v>
      </c>
    </row>
    <row r="25" spans="1:9" x14ac:dyDescent="0.2">
      <c r="A25" s="268" t="s">
        <v>387</v>
      </c>
      <c r="B25" s="237">
        <v>1</v>
      </c>
      <c r="C25">
        <v>26.1</v>
      </c>
      <c r="D25" s="2" t="s">
        <v>368</v>
      </c>
      <c r="E25">
        <v>72</v>
      </c>
      <c r="F25">
        <v>5.9</v>
      </c>
      <c r="G25">
        <v>10.5</v>
      </c>
      <c r="H25">
        <v>9.6</v>
      </c>
      <c r="I25" s="238">
        <f t="shared" si="0"/>
        <v>8.6666666666666661</v>
      </c>
    </row>
    <row r="26" spans="1:9" ht="16" thickBot="1" x14ac:dyDescent="0.25">
      <c r="A26" s="269" t="s">
        <v>388</v>
      </c>
      <c r="B26" s="240">
        <v>1</v>
      </c>
      <c r="C26" s="241">
        <v>26.1</v>
      </c>
      <c r="D26" s="242" t="s">
        <v>368</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2026-06-22T22:04:49Z</dcterms:modified>
</cp:coreProperties>
</file>